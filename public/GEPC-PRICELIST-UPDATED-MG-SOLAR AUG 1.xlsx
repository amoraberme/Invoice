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2\Downloads\"/>
    </mc:Choice>
  </mc:AlternateContent>
  <xr:revisionPtr revIDLastSave="0" documentId="8_{A5093EB5-A230-4648-B0D8-865A485052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Sheet1!$A$1:$G$233</definedName>
    <definedName name="_xlnm.Print_Titles" localSheetId="0">Sheet1!$1:$8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7" i="1" l="1"/>
  <c r="E16" i="1"/>
</calcChain>
</file>

<file path=xl/sharedStrings.xml><?xml version="1.0" encoding="utf-8"?>
<sst xmlns="http://schemas.openxmlformats.org/spreadsheetml/2006/main" count="430" uniqueCount="316">
  <si>
    <t>HY-DH132N11</t>
  </si>
  <si>
    <t>TWMNH-66HD630</t>
  </si>
  <si>
    <t>HYBRID INVERTER, SINGLE PHASE, LOW VOLTAGE</t>
  </si>
  <si>
    <t>GW3000-ES-20</t>
  </si>
  <si>
    <t>GOODWE HYBRID INVERTER 3KW (NO LCD)</t>
  </si>
  <si>
    <t>GW6000-ES-C10</t>
  </si>
  <si>
    <t>Goodwe Hybrid Inverter 6kW - Es Uniq w/ LCD</t>
  </si>
  <si>
    <t>GW8000-ES-C10</t>
  </si>
  <si>
    <t>Goodwe Hybrid Inverter 8kW - ES Uniq w/ LCD</t>
  </si>
  <si>
    <t>GW10K-ES-C10</t>
  </si>
  <si>
    <t>Goodwe Hybrid Inverter 10kW - ES Uniq w/ LCD</t>
  </si>
  <si>
    <t>GW12K-ES-C10</t>
  </si>
  <si>
    <t>Goodwe Hybrid Inverter 12kW - ES Uniq w/ LCD</t>
  </si>
  <si>
    <t>HYBRID INVERTER,THREE PHASE, HIGH VOLTAGE</t>
  </si>
  <si>
    <t>GW100K-ET-G10</t>
  </si>
  <si>
    <t>Goodwe Hybrid Inverter 100kW</t>
  </si>
  <si>
    <t>GRID TIED INVERTER, SINGLE PHASE, LOW VOLTAGE</t>
  </si>
  <si>
    <t>GW1500-XS-30</t>
  </si>
  <si>
    <t>Goodwe Grid Tied Inverter 1.5kW</t>
  </si>
  <si>
    <t>GW3000-XS-30</t>
  </si>
  <si>
    <t>Goodwe Grid Tied Inverter 3kW</t>
  </si>
  <si>
    <t>GW6000-DNS-30</t>
  </si>
  <si>
    <t>GW10K-MS-G30</t>
  </si>
  <si>
    <t>GW10K-MS-G40</t>
  </si>
  <si>
    <t>Goodwe Grid Tied Inverter 6kW</t>
  </si>
  <si>
    <t>Goodwe Grid Tied Inverter 10kW</t>
  </si>
  <si>
    <r>
      <t xml:space="preserve">Goodwe Grid Tied Inverter 10kW </t>
    </r>
    <r>
      <rPr>
        <sz val="11"/>
        <color rgb="FFFF0000"/>
        <rFont val="Calibri"/>
        <family val="2"/>
        <scheme val="minor"/>
      </rPr>
      <t xml:space="preserve">(parallel up to 10units use EZLink + GM330) </t>
    </r>
  </si>
  <si>
    <t>GRID TIED INVERTER, THREE PHASE , LOW VOLTAGE</t>
  </si>
  <si>
    <t>GW30KLV-SDT</t>
  </si>
  <si>
    <t>GW35KLS-MT</t>
  </si>
  <si>
    <t>GW50KLV-MT</t>
  </si>
  <si>
    <t>GW50KLS-MT</t>
  </si>
  <si>
    <t>GW75K-GT-LV-G10</t>
  </si>
  <si>
    <t>GW100KL-GT</t>
  </si>
  <si>
    <t xml:space="preserve">GRID TIED INVERTER, THREE PHASE , HIGH VOLTAGE </t>
  </si>
  <si>
    <t>GW36K-MT</t>
  </si>
  <si>
    <t>GW50KS-MT</t>
  </si>
  <si>
    <t>GW60KS-MT</t>
  </si>
  <si>
    <t>GW100K-HT</t>
  </si>
  <si>
    <t>OFF GRID, LOW VOLTAGE</t>
  </si>
  <si>
    <t>GW6000-EO</t>
  </si>
  <si>
    <t>Warranty: 5 Years Manufacturers Warranty, Pair with Goodwe Battery : 10Years</t>
  </si>
  <si>
    <t>Standard 5 Years Manufacturers Warranty : Replacement</t>
  </si>
  <si>
    <t>Warranty: Standard 15 Years Manufacturers Warranty</t>
  </si>
  <si>
    <t>Goodwe Grid tied Three Phase LV 30kW</t>
  </si>
  <si>
    <t>Goodwe Grid tied Three Phase LV 35kW</t>
  </si>
  <si>
    <t>Goodwe Grid tied Three Phase LV 50kW</t>
  </si>
  <si>
    <t>Goodwe Grid tied Three Phase LV 75kW</t>
  </si>
  <si>
    <t>Goodwe Grid tied Three Phase LV 100kW</t>
  </si>
  <si>
    <t>ENERGY STORAGE , BACK UP , BESS</t>
  </si>
  <si>
    <t>LXA5.0-10</t>
  </si>
  <si>
    <t>Goodwe Lynx Lithium Battery 51.2V 100Ah  ( rack or wall mount)</t>
  </si>
  <si>
    <t>GE14.3-BAT-LV-G10</t>
  </si>
  <si>
    <t>GW125/261-ESA*LCN-G10</t>
  </si>
  <si>
    <t>HV-TOWER-325100</t>
  </si>
  <si>
    <t>ESBOX34 PLUS</t>
  </si>
  <si>
    <t>ESBOX34MAX+</t>
  </si>
  <si>
    <t>GW0.8/1.9-ESA-PS-G10</t>
  </si>
  <si>
    <t>Goodwe Lithium Battery 51.2V 280Ah (Wall/Floor)</t>
  </si>
  <si>
    <t>Goodwe Energy Storage System 832V 314Ah (261.2kWh)</t>
  </si>
  <si>
    <t xml:space="preserve">Genix Green Lithium Battery 102.4V 100Ah High Voltage </t>
  </si>
  <si>
    <t>Genix green Lithium Battery 51.2V 200Ah</t>
  </si>
  <si>
    <t>Genix Green Lithium Battery 51.2V 314Ah</t>
  </si>
  <si>
    <t>Goodwe OffGrid Inverter 6kWh</t>
  </si>
  <si>
    <t>Goodwe Grid Tied Three Phase HV 36kW</t>
  </si>
  <si>
    <t>Goodwe Grid Tied Three Phase HV 50kW</t>
  </si>
  <si>
    <t>Goodwe Grid Tied Three Phase HV 60kW</t>
  </si>
  <si>
    <t>Goodwe Grid Tied Three Phase HV 100kW</t>
  </si>
  <si>
    <t>ENERGY METER , DATA LOGGER</t>
  </si>
  <si>
    <t>SEC1000</t>
  </si>
  <si>
    <t>Smart Energy Controller ( On grid)</t>
  </si>
  <si>
    <t>GM110K</t>
  </si>
  <si>
    <t>GM330</t>
  </si>
  <si>
    <t>GM1000</t>
  </si>
  <si>
    <t>GM3000</t>
  </si>
  <si>
    <t>EZ Link 3000</t>
  </si>
  <si>
    <t>EzLogger Pro</t>
  </si>
  <si>
    <t>Goodwe EZLink (Maximum 6 Inverters)</t>
  </si>
  <si>
    <r>
      <t xml:space="preserve">Goodwe EZ Logger </t>
    </r>
    <r>
      <rPr>
        <i/>
        <sz val="11"/>
        <color theme="1"/>
        <rFont val="Calibri"/>
        <family val="2"/>
        <scheme val="minor"/>
      </rPr>
      <t>(Connectivity up to 60 Inverter)</t>
    </r>
  </si>
  <si>
    <r>
      <t xml:space="preserve">Goodwe Smart Meter </t>
    </r>
    <r>
      <rPr>
        <i/>
        <sz val="11"/>
        <color theme="1"/>
        <rFont val="Calibri"/>
        <family val="2"/>
        <scheme val="minor"/>
      </rPr>
      <t>(Single Phase Basic Monitoring -Small Systems)</t>
    </r>
  </si>
  <si>
    <r>
      <t xml:space="preserve">Goodwe Smart Meter  </t>
    </r>
    <r>
      <rPr>
        <i/>
        <sz val="11"/>
        <color theme="1"/>
        <rFont val="Calibri"/>
        <family val="2"/>
        <scheme val="minor"/>
      </rPr>
      <t>(Class 0.5, Export Limitation, Load Monitoring)</t>
    </r>
  </si>
  <si>
    <r>
      <t xml:space="preserve">Goodwe Smart Meter </t>
    </r>
    <r>
      <rPr>
        <i/>
        <sz val="11"/>
        <color theme="1"/>
        <rFont val="Calibri"/>
        <family val="2"/>
        <scheme val="minor"/>
      </rPr>
      <t>(Three Phase, Large Scale)</t>
    </r>
  </si>
  <si>
    <r>
      <t xml:space="preserve">Goodwe Smart Meter </t>
    </r>
    <r>
      <rPr>
        <i/>
        <sz val="11"/>
        <color theme="1"/>
        <rFont val="Calibri"/>
        <family val="2"/>
        <scheme val="minor"/>
      </rPr>
      <t>(Three Phase Monitoring)</t>
    </r>
  </si>
  <si>
    <t>RAILINGS AND ACCESSORIES</t>
  </si>
  <si>
    <t>Aluminum Mounting rail 2.4m</t>
  </si>
  <si>
    <t>Aluminum Mounting rail 3.6m</t>
  </si>
  <si>
    <t>Aluminum Mounting Rail 4.8m</t>
  </si>
  <si>
    <t>End Clamp</t>
  </si>
  <si>
    <t>Mid Clamp</t>
  </si>
  <si>
    <t>L-Foot</t>
  </si>
  <si>
    <t>Grounding Lugs</t>
  </si>
  <si>
    <t>Grounding Clips</t>
  </si>
  <si>
    <t>MC4 Connector 1000V</t>
  </si>
  <si>
    <t>MC4 Connector 1500V</t>
  </si>
  <si>
    <t>WIRES &amp; CONDUITS</t>
  </si>
  <si>
    <t>PV Cable 4mm (100m/roll) (Red or Black)</t>
  </si>
  <si>
    <t xml:space="preserve">PV Cable 6mm2 TwinCore (Red or Black)  </t>
  </si>
  <si>
    <t>Battery Cable 25mm Red/Black</t>
  </si>
  <si>
    <t>Battery Cable 35mm Red/Black</t>
  </si>
  <si>
    <t>Battery Cable 50mm Red/Black</t>
  </si>
  <si>
    <t>Battery Cable 70mm Red/Black</t>
  </si>
  <si>
    <t>UV Rated HDPE HOSE 1/2" (21.2mm)</t>
  </si>
  <si>
    <t>UV Rated HDPE HOSE 3/4" (25mm)</t>
  </si>
  <si>
    <t>UV Rated HDPE Hose 1" (34.5mm)</t>
  </si>
  <si>
    <t>UV Rated HDPE Hose 1-1/2" (42.5mm)</t>
  </si>
  <si>
    <t>UV Rated HDPE Connector 1/2" (21.2mm)</t>
  </si>
  <si>
    <t>UV Rated HDPE Connector 3/4" (25mm)</t>
  </si>
  <si>
    <t>UV Rated HDPE Connector 1" (34.5mm)</t>
  </si>
  <si>
    <t>UV Rated HDPE Connector 1-1/2" (42.5mm)</t>
  </si>
  <si>
    <t>ENCLOSURES AND BREAKER BOX</t>
  </si>
  <si>
    <t>Metal Enclosure 300 x 400 x 200</t>
  </si>
  <si>
    <t>Metal Enclosure 400 x 500 x 200</t>
  </si>
  <si>
    <t>Distribution Box 5Ways</t>
  </si>
  <si>
    <t>Distribution Box 8Ways</t>
  </si>
  <si>
    <t>Distribution Box 12Ways</t>
  </si>
  <si>
    <t>Distribution Box 15Ways</t>
  </si>
  <si>
    <t>Distribution Box 18Ways</t>
  </si>
  <si>
    <t>Distribution Box 24Ways</t>
  </si>
  <si>
    <t>BREAKERS</t>
  </si>
  <si>
    <t>YRO DC BREAKER   2P   16A/800V</t>
  </si>
  <si>
    <t>YRO DC BREAKER   2P  16A/550V</t>
  </si>
  <si>
    <t>YRO DC BREAKER   2P  20A/550V</t>
  </si>
  <si>
    <t>YRO DC BREAKER   2P  25A/800V</t>
  </si>
  <si>
    <t>YRO DC BREAKER   2P  25A/550V</t>
  </si>
  <si>
    <t>YRO DC BREAKER   2P  32A/600V</t>
  </si>
  <si>
    <t>YRO DC BREAKER   4P  25A/1000V</t>
  </si>
  <si>
    <t>YRO AC BREAKER 2P 32A/400V</t>
  </si>
  <si>
    <t>YRO AC BREAKER 2P 63A/400V</t>
  </si>
  <si>
    <t>YRO AC BREAKER   2P  63A/230V</t>
  </si>
  <si>
    <t>YRO DC SPD 2P 40KAIC 600V</t>
  </si>
  <si>
    <t>YRO DC SPD 3P 40KAIC 1000V</t>
  </si>
  <si>
    <t>YRO DC MCCB 2P 160A/550V</t>
  </si>
  <si>
    <t>YRO DC MCCB 2P 200A/550V</t>
  </si>
  <si>
    <t>YRO DC  MCCB  2P 125A/550A</t>
  </si>
  <si>
    <t>YRO DC MCCB 2P 250A/550V</t>
  </si>
  <si>
    <t>YRO AC SPD 2P 40KAIC 420V</t>
  </si>
  <si>
    <t>YRO AC  SPD  2P  40KAIC  275V</t>
  </si>
  <si>
    <t>YRO ATS 2P 63A/230V</t>
  </si>
  <si>
    <t>YRO ATS  2P  63A/220V</t>
  </si>
  <si>
    <t>YRO ATS 2P 125A/230V</t>
  </si>
  <si>
    <t>YRO ATS 4P 125A/400V</t>
  </si>
  <si>
    <t>SOLAR LIGHTS , FLOOD LIGHTS , STREET LIGHTS</t>
  </si>
  <si>
    <t>5730-120 Led Qty. Battery: 3.2V-10A . Solar Panel Wattage: 6V -12W</t>
  </si>
  <si>
    <t>5730-222 Led Qty. Battery: 3.2V-15A . Solar Panel Wattage: 6V -18W</t>
  </si>
  <si>
    <t>5730-400 Led Qty. Battery: 3.2V-20A . Solar Panel Wattage: 6V -25W</t>
  </si>
  <si>
    <r>
      <rPr>
        <b/>
        <u/>
        <sz val="11"/>
        <color theme="1"/>
        <rFont val="Calibri"/>
        <family val="2"/>
        <scheme val="minor"/>
      </rPr>
      <t>LM-146: 200W,</t>
    </r>
    <r>
      <rPr>
        <sz val="11"/>
        <color theme="1"/>
        <rFont val="Calibri"/>
        <family val="2"/>
        <scheme val="minor"/>
      </rPr>
      <t xml:space="preserve"> ALU : 300*250*75mm | 350*350*17mm</t>
    </r>
  </si>
  <si>
    <r>
      <rPr>
        <b/>
        <u/>
        <sz val="11"/>
        <color theme="1"/>
        <rFont val="Calibri"/>
        <family val="2"/>
        <scheme val="minor"/>
      </rPr>
      <t>LM-146 : 100w</t>
    </r>
    <r>
      <rPr>
        <sz val="11"/>
        <color theme="1"/>
        <rFont val="Calibri"/>
        <family val="2"/>
        <scheme val="minor"/>
      </rPr>
      <t>, Alu 255*208*65mm |350*235*17mm</t>
    </r>
  </si>
  <si>
    <r>
      <rPr>
        <b/>
        <u/>
        <sz val="11"/>
        <color theme="1"/>
        <rFont val="Calibri"/>
        <family val="2"/>
        <scheme val="minor"/>
      </rPr>
      <t>LM-146: 300W</t>
    </r>
    <r>
      <rPr>
        <sz val="11"/>
        <color theme="1"/>
        <rFont val="Calibri"/>
        <family val="2"/>
        <scheme val="minor"/>
      </rPr>
      <t>, ALU : 335*270*80mm | 350*450*17mm</t>
    </r>
  </si>
  <si>
    <r>
      <rPr>
        <b/>
        <sz val="11"/>
        <color theme="1"/>
        <rFont val="Calibri"/>
        <family val="2"/>
        <scheme val="minor"/>
      </rPr>
      <t>LM-146: 600W</t>
    </r>
    <r>
      <rPr>
        <sz val="11"/>
        <color theme="1"/>
        <rFont val="Calibri"/>
        <family val="2"/>
        <scheme val="minor"/>
      </rPr>
      <t>, ALU : 500*363*85mm | 445*670*17mm</t>
    </r>
  </si>
  <si>
    <t>5730-1156 Led Qty. Battery: 3.2V-20A . Solar Panel Wattage: 6V -48W</t>
  </si>
  <si>
    <t>Battery: 3.2V-6A | Solar Panel Wattage: 6V-8W</t>
  </si>
  <si>
    <t>Battery: 3.2V-10A | Solar Panel Wattage: 6V-12W</t>
  </si>
  <si>
    <r>
      <rPr>
        <b/>
        <sz val="11"/>
        <color theme="1"/>
        <rFont val="Calibri"/>
        <family val="2"/>
        <scheme val="minor"/>
      </rPr>
      <t>LU-102OM:100W</t>
    </r>
    <r>
      <rPr>
        <sz val="11"/>
        <color theme="1"/>
        <rFont val="Calibri"/>
        <family val="2"/>
        <scheme val="minor"/>
      </rPr>
      <t>| Material:ABS |  Dimension: 439*236*64mm | Led Qty: 5050-66</t>
    </r>
  </si>
  <si>
    <r>
      <rPr>
        <b/>
        <sz val="11"/>
        <color theme="1"/>
        <rFont val="Calibri"/>
        <family val="2"/>
        <scheme val="minor"/>
      </rPr>
      <t>LU-102OM:200W</t>
    </r>
    <r>
      <rPr>
        <sz val="11"/>
        <color theme="1"/>
        <rFont val="Calibri"/>
        <family val="2"/>
        <scheme val="minor"/>
      </rPr>
      <t>| Material:ABS | Dimension: 559*236*64mm | Led Qty: 5050-109</t>
    </r>
  </si>
  <si>
    <r>
      <rPr>
        <b/>
        <sz val="11"/>
        <color theme="1"/>
        <rFont val="Calibri"/>
        <family val="2"/>
        <scheme val="minor"/>
      </rPr>
      <t>LU-102OM:300W</t>
    </r>
    <r>
      <rPr>
        <sz val="11"/>
        <color theme="1"/>
        <rFont val="Calibri"/>
        <family val="2"/>
        <scheme val="minor"/>
      </rPr>
      <t>| Material:ABS |  Dimension: 689*236*64mm | Led Qty: 5050-169</t>
    </r>
  </si>
  <si>
    <r>
      <rPr>
        <b/>
        <sz val="11"/>
        <color theme="1"/>
        <rFont val="Calibri"/>
        <family val="2"/>
        <scheme val="minor"/>
      </rPr>
      <t>LU-102:250W</t>
    </r>
    <r>
      <rPr>
        <sz val="11"/>
        <color theme="1"/>
        <rFont val="Calibri"/>
        <family val="2"/>
        <scheme val="minor"/>
      </rPr>
      <t>| Material:ABS |  Dimension: 620*238*50mm | Led Qty: 5730-48*3</t>
    </r>
  </si>
  <si>
    <t>Battery: 3.2v-10A| Solar Panel Wattage: 6V-12W</t>
  </si>
  <si>
    <r>
      <rPr>
        <b/>
        <sz val="11"/>
        <color theme="1"/>
        <rFont val="Calibri"/>
        <family val="2"/>
        <scheme val="minor"/>
      </rPr>
      <t>LU-102:500W</t>
    </r>
    <r>
      <rPr>
        <sz val="11"/>
        <color theme="1"/>
        <rFont val="Calibri"/>
        <family val="2"/>
        <scheme val="minor"/>
      </rPr>
      <t>| Material:ABS |  Dimension: 820*240*55mm| Led Qty: 5730-48*5</t>
    </r>
  </si>
  <si>
    <t>Battery: 3.2v-15A| Solar Panel Wattage:6V-18W</t>
  </si>
  <si>
    <r>
      <rPr>
        <b/>
        <sz val="11"/>
        <color theme="1"/>
        <rFont val="Calibri"/>
        <family val="2"/>
        <scheme val="minor"/>
      </rPr>
      <t>LU-100S:250W</t>
    </r>
    <r>
      <rPr>
        <sz val="11"/>
        <color theme="1"/>
        <rFont val="Calibri"/>
        <family val="2"/>
        <scheme val="minor"/>
      </rPr>
      <t>| Material:ABS |  Dimension: 585*340*70mm| Led Qty: 5730-80*8</t>
    </r>
  </si>
  <si>
    <t>Battery: 3.2v-15A| Solar Panel Wattage:6V-25W</t>
  </si>
  <si>
    <r>
      <rPr>
        <b/>
        <sz val="11"/>
        <color theme="1"/>
        <rFont val="Calibri"/>
        <family val="2"/>
        <scheme val="minor"/>
      </rPr>
      <t>LU-100S:500W</t>
    </r>
    <r>
      <rPr>
        <sz val="11"/>
        <color theme="1"/>
        <rFont val="Calibri"/>
        <family val="2"/>
        <scheme val="minor"/>
      </rPr>
      <t>| Material:ABS |  Dimension: 670*340*70mm| Led Qty: 5730-80*10</t>
    </r>
  </si>
  <si>
    <t>Battery: 3.2v-20A| Solar Panel Wattage:6V-30W</t>
  </si>
  <si>
    <t>2 Years Manufacturers Warranty</t>
  </si>
  <si>
    <t>OTHER ITEMS</t>
  </si>
  <si>
    <t>Solar Panel Lifter</t>
  </si>
  <si>
    <t>ACC17</t>
  </si>
  <si>
    <t>ACC16</t>
  </si>
  <si>
    <t>ACC18</t>
  </si>
  <si>
    <t>ACC45</t>
  </si>
  <si>
    <t>ACC25</t>
  </si>
  <si>
    <t>ACC26</t>
  </si>
  <si>
    <t>ACC27</t>
  </si>
  <si>
    <t>ACC28</t>
  </si>
  <si>
    <t>ACC29</t>
  </si>
  <si>
    <t>ACC30</t>
  </si>
  <si>
    <t>ACC31</t>
  </si>
  <si>
    <t>ACC32</t>
  </si>
  <si>
    <t>ACC33</t>
  </si>
  <si>
    <t>ACC34</t>
  </si>
  <si>
    <t>ACC35</t>
  </si>
  <si>
    <t>ACC36</t>
  </si>
  <si>
    <t>ACC37</t>
  </si>
  <si>
    <t>ACC38</t>
  </si>
  <si>
    <t>ACC39</t>
  </si>
  <si>
    <t>ACC40</t>
  </si>
  <si>
    <t>ACC41</t>
  </si>
  <si>
    <t>ACC42</t>
  </si>
  <si>
    <t>ACC43</t>
  </si>
  <si>
    <t>ACC44</t>
  </si>
  <si>
    <t>ACC46</t>
  </si>
  <si>
    <t>ACC47</t>
  </si>
  <si>
    <t>ACC07</t>
  </si>
  <si>
    <t>ACC08</t>
  </si>
  <si>
    <t>ACC09</t>
  </si>
  <si>
    <t>ACC10</t>
  </si>
  <si>
    <t>ACC11</t>
  </si>
  <si>
    <t>ACC12</t>
  </si>
  <si>
    <t>ACC13</t>
  </si>
  <si>
    <t>ACC14</t>
  </si>
  <si>
    <t>ACC15</t>
  </si>
  <si>
    <t>ACC19</t>
  </si>
  <si>
    <t>ACC20</t>
  </si>
  <si>
    <t>ACC21</t>
  </si>
  <si>
    <t>ACC22</t>
  </si>
  <si>
    <t>ACC23</t>
  </si>
  <si>
    <t>ACC24</t>
  </si>
  <si>
    <t>ACC02</t>
  </si>
  <si>
    <t>ACC04</t>
  </si>
  <si>
    <t>ACC06</t>
  </si>
  <si>
    <t>ACC01A70</t>
  </si>
  <si>
    <t>ACC01A71</t>
  </si>
  <si>
    <t>ACC01A72</t>
  </si>
  <si>
    <t>ACC01A1</t>
  </si>
  <si>
    <t>ACC01A2</t>
  </si>
  <si>
    <t>ACC01A5</t>
  </si>
  <si>
    <t>ACC01A4</t>
  </si>
  <si>
    <t>ACC01A6</t>
  </si>
  <si>
    <t>ACC01A10</t>
  </si>
  <si>
    <t>Splice Connector (Easy Installation)</t>
  </si>
  <si>
    <t>ACC01A11</t>
  </si>
  <si>
    <t>ACC01A12</t>
  </si>
  <si>
    <t>Code</t>
  </si>
  <si>
    <t>Description</t>
  </si>
  <si>
    <t>Installers Price</t>
  </si>
  <si>
    <r>
      <t xml:space="preserve">Athena Series - MicroStorage - Master Unit 1.92kWh </t>
    </r>
    <r>
      <rPr>
        <b/>
        <sz val="11"/>
        <color theme="1"/>
        <rFont val="Calibri"/>
        <family val="2"/>
        <scheme val="minor"/>
      </rPr>
      <t>(PLUG AND PLAY)</t>
    </r>
  </si>
  <si>
    <r>
      <t xml:space="preserve">Athena Series - Microstorage - Slave Unit 1.92kWh   </t>
    </r>
    <r>
      <rPr>
        <b/>
        <sz val="11"/>
        <color theme="1"/>
        <rFont val="Calibri"/>
        <family val="2"/>
        <scheme val="minor"/>
      </rPr>
      <t>(PLUG AND PLAY)</t>
    </r>
  </si>
  <si>
    <t>Ferrules 6mm Red/Black</t>
  </si>
  <si>
    <t>Ferrules 4mm Red/Black</t>
  </si>
  <si>
    <t>ACC01B01</t>
  </si>
  <si>
    <t>ACC01B02</t>
  </si>
  <si>
    <t>170/meter</t>
  </si>
  <si>
    <t>13,500/100 meter</t>
  </si>
  <si>
    <t>300.00/meter</t>
  </si>
  <si>
    <t>380.00/meter</t>
  </si>
  <si>
    <t>600.00/meter</t>
  </si>
  <si>
    <t>700.00/meter</t>
  </si>
  <si>
    <t>35.00/meter</t>
  </si>
  <si>
    <t>45.00/meter</t>
  </si>
  <si>
    <t>48.00/meter</t>
  </si>
  <si>
    <t>50.00/meter</t>
  </si>
  <si>
    <t>Neutral Cure Silicone 350mL</t>
  </si>
  <si>
    <t>Structural Silicone Sealant 590mL Sausage</t>
  </si>
  <si>
    <t>PORTABLE SOLAR KIT-PLUG AND PLAY</t>
  </si>
  <si>
    <t>HYBRID INVERTER,THREE PHASE, LOW VOLTAGE</t>
  </si>
  <si>
    <t>GW20K-ET-L-G10</t>
  </si>
  <si>
    <t>Goodwe Hybrid Inverter 20kW</t>
  </si>
  <si>
    <t>Goodwe Hybrid Inverter 50kW ( Can be upgraded to 100kW High Voltage)</t>
  </si>
  <si>
    <t>GW16.1 BAT-LV-G10</t>
  </si>
  <si>
    <t>Goodwe Lithium Battery 51.2V 314AH</t>
  </si>
  <si>
    <t>TWMNF-66HD725W</t>
  </si>
  <si>
    <t>TWMHF-66HD720</t>
  </si>
  <si>
    <t xml:space="preserve">SOLAR PANELS - </t>
  </si>
  <si>
    <t>Runergy Bifacial Solar 620W TIER 1</t>
  </si>
  <si>
    <t>TW (Tongwei) Bifacial Solar Panel 630W TIER 1</t>
  </si>
  <si>
    <t>TW (Tongwei) Bifacial Solar Panel 720W  TIER 1</t>
  </si>
  <si>
    <t>TW (Tongwei) Bifacial Solar Panel 725W  TIER 1</t>
  </si>
  <si>
    <t>Wholesale</t>
  </si>
  <si>
    <t>Sub Dealer</t>
  </si>
  <si>
    <t>Suncake Portable Solar Kit 970W</t>
  </si>
  <si>
    <t>GW0.9k-MIS-G10</t>
  </si>
  <si>
    <t>60/meter</t>
  </si>
  <si>
    <t>PV Cable 6mm Single Core (Red|Black)</t>
  </si>
  <si>
    <t>5800/100 meter</t>
  </si>
  <si>
    <t>5750/100 meter</t>
  </si>
  <si>
    <t>5650/100 meter</t>
  </si>
  <si>
    <t>165/meter</t>
  </si>
  <si>
    <t>160/meter</t>
  </si>
  <si>
    <t>12500/100 meter</t>
  </si>
  <si>
    <t>13,000/100 meter</t>
  </si>
  <si>
    <t>280.00/meter</t>
  </si>
  <si>
    <t>270.00/meter</t>
  </si>
  <si>
    <t>375.00/meter</t>
  </si>
  <si>
    <t>370.00/meter</t>
  </si>
  <si>
    <t>580.00/meter</t>
  </si>
  <si>
    <t>570.00/meter</t>
  </si>
  <si>
    <t>680.00/meter</t>
  </si>
  <si>
    <t>670.00/meter</t>
  </si>
  <si>
    <t>32.00/meter</t>
  </si>
  <si>
    <t>30.00/meter</t>
  </si>
  <si>
    <t>42.00/meter</t>
  </si>
  <si>
    <t>40.00/meter</t>
  </si>
  <si>
    <t xml:space="preserve"> PRICELIST</t>
  </si>
  <si>
    <t>SRP PRICE</t>
  </si>
  <si>
    <t>320/meter</t>
  </si>
  <si>
    <t>180/meter</t>
  </si>
  <si>
    <t>400/meter</t>
  </si>
  <si>
    <t>620/meter</t>
  </si>
  <si>
    <t>720/meter</t>
  </si>
  <si>
    <t>37.00/meter</t>
  </si>
  <si>
    <t>47.00/meter</t>
  </si>
  <si>
    <t>52.00/meter</t>
  </si>
  <si>
    <t>58000/100meter</t>
  </si>
  <si>
    <t>57000/100meter</t>
  </si>
  <si>
    <t>56000/100meter</t>
  </si>
  <si>
    <t>68000/100meter</t>
  </si>
  <si>
    <t>67000/100meter</t>
  </si>
  <si>
    <t>66000/100meter</t>
  </si>
  <si>
    <t>29000/100meter</t>
  </si>
  <si>
    <t>27500/100meter</t>
  </si>
  <si>
    <t>26000/100meter</t>
  </si>
  <si>
    <t>37500/100meter</t>
  </si>
  <si>
    <t>37000/100meter</t>
  </si>
  <si>
    <t>36500/100meter</t>
  </si>
  <si>
    <t>GW50K-ET-G10</t>
  </si>
  <si>
    <t>TWMNH-66HD620</t>
  </si>
  <si>
    <t>TW (Tongwei) Bifacial Solar Panel 620W TIER 1</t>
  </si>
  <si>
    <t>CESC SATURN</t>
  </si>
  <si>
    <t>CESC SATURN LV-16 16KWH BATTERY 314AH</t>
  </si>
  <si>
    <t>CESC MERCURY</t>
  </si>
  <si>
    <t>CESC MERCURY ALL IN ONE ESS 261KWH</t>
  </si>
  <si>
    <t>As of June - July 2026</t>
  </si>
  <si>
    <t>TWMNH-66HD625</t>
  </si>
  <si>
    <t>TW (Tongwei) Bifacial Solar Panel 625W TIER 1</t>
  </si>
  <si>
    <t>L-Foot Tile Roof</t>
  </si>
  <si>
    <t>ACC01A3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</si>
</sst>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quotePrefix="1" applyBorder="1"/>
    <xf numFmtId="0" fontId="0" fillId="0" borderId="5" xfId="0" quotePrefix="1" applyBorder="1"/>
    <xf numFmtId="43" fontId="0" fillId="0" borderId="0" xfId="1" applyFont="1"/>
    <xf numFmtId="0" fontId="8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43" fontId="8" fillId="0" borderId="0" xfId="1" applyFont="1" applyAlignment="1">
      <alignment horizontal="center"/>
    </xf>
    <xf numFmtId="43" fontId="9" fillId="0" borderId="0" xfId="1" applyFont="1"/>
    <xf numFmtId="43" fontId="0" fillId="0" borderId="1" xfId="1" applyFont="1" applyBorder="1"/>
    <xf numFmtId="43" fontId="3" fillId="2" borderId="3" xfId="1" applyFont="1" applyFill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0" fillId="0" borderId="6" xfId="1" applyFont="1" applyBorder="1"/>
    <xf numFmtId="0" fontId="0" fillId="2" borderId="1" xfId="0" applyFill="1" applyBorder="1" applyAlignment="1">
      <alignment horizontal="left"/>
    </xf>
    <xf numFmtId="43" fontId="1" fillId="2" borderId="1" xfId="1" applyFont="1" applyFill="1" applyBorder="1" applyAlignment="1">
      <alignment horizontal="left"/>
    </xf>
    <xf numFmtId="43" fontId="0" fillId="0" borderId="1" xfId="1" applyFont="1" applyBorder="1" applyAlignment="1">
      <alignment horizontal="left"/>
    </xf>
    <xf numFmtId="43" fontId="0" fillId="0" borderId="1" xfId="1" applyFont="1" applyBorder="1" applyAlignment="1">
      <alignment vertical="center"/>
    </xf>
    <xf numFmtId="0" fontId="0" fillId="2" borderId="4" xfId="0" applyFill="1" applyBorder="1" applyAlignment="1">
      <alignment horizontal="left"/>
    </xf>
    <xf numFmtId="43" fontId="0" fillId="0" borderId="6" xfId="1" applyFont="1" applyBorder="1" applyAlignment="1">
      <alignment vertical="center"/>
    </xf>
    <xf numFmtId="43" fontId="9" fillId="0" borderId="1" xfId="1" applyFont="1" applyBorder="1"/>
    <xf numFmtId="43" fontId="3" fillId="0" borderId="1" xfId="1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43" fontId="8" fillId="0" borderId="0" xfId="1" applyFont="1" applyAlignment="1">
      <alignment horizontal="center" vertical="top"/>
    </xf>
    <xf numFmtId="43" fontId="0" fillId="2" borderId="1" xfId="1" applyFont="1" applyFill="1" applyBorder="1" applyAlignment="1">
      <alignment horizontal="left"/>
    </xf>
    <xf numFmtId="43" fontId="0" fillId="0" borderId="6" xfId="1" applyFont="1" applyBorder="1" applyAlignment="1">
      <alignment wrapText="1"/>
    </xf>
    <xf numFmtId="43" fontId="3" fillId="0" borderId="0" xfId="1" applyFont="1"/>
    <xf numFmtId="43" fontId="0" fillId="0" borderId="1" xfId="1" applyFont="1" applyBorder="1" applyAlignment="1">
      <alignment vertical="center" wrapText="1"/>
    </xf>
    <xf numFmtId="43" fontId="0" fillId="0" borderId="6" xfId="1" applyFont="1" applyBorder="1" applyAlignment="1">
      <alignment vertical="center" wrapText="1"/>
    </xf>
    <xf numFmtId="43" fontId="0" fillId="0" borderId="1" xfId="1" applyFont="1" applyBorder="1" applyAlignment="1">
      <alignment horizontal="left" vertical="center" wrapText="1"/>
    </xf>
    <xf numFmtId="43" fontId="0" fillId="0" borderId="1" xfId="1" applyFont="1" applyBorder="1" applyAlignment="1">
      <alignment horizontal="left" vertical="center"/>
    </xf>
    <xf numFmtId="43" fontId="0" fillId="0" borderId="1" xfId="1" applyFont="1" applyBorder="1" applyAlignment="1">
      <alignment wrapText="1"/>
    </xf>
    <xf numFmtId="0" fontId="0" fillId="0" borderId="1" xfId="0" applyBorder="1" applyAlignment="1">
      <alignment vertical="center"/>
    </xf>
    <xf numFmtId="43" fontId="3" fillId="0" borderId="7" xfId="1" applyFont="1" applyBorder="1" applyAlignment="1">
      <alignment horizontal="center" vertical="center"/>
    </xf>
    <xf numFmtId="43" fontId="3" fillId="0" borderId="8" xfId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43" fontId="3" fillId="0" borderId="1" xfId="1" applyFont="1" applyBorder="1" applyAlignment="1">
      <alignment horizontal="center" vertical="center"/>
    </xf>
    <xf numFmtId="43" fontId="3" fillId="0" borderId="6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43" fontId="0" fillId="0" borderId="1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43" fontId="0" fillId="0" borderId="11" xfId="1" applyFont="1" applyBorder="1" applyAlignment="1">
      <alignment horizontal="center" vertical="center"/>
    </xf>
    <xf numFmtId="43" fontId="0" fillId="0" borderId="12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211</xdr:row>
      <xdr:rowOff>38100</xdr:rowOff>
    </xdr:from>
    <xdr:to>
      <xdr:col>1</xdr:col>
      <xdr:colOff>1076325</xdr:colOff>
      <xdr:row>212</xdr:row>
      <xdr:rowOff>333375</xdr:rowOff>
    </xdr:to>
    <xdr:pic>
      <xdr:nvPicPr>
        <xdr:cNvPr id="2" name="图片 2" descr=" ">
          <a:extLst>
            <a:ext uri="{FF2B5EF4-FFF2-40B4-BE49-F238E27FC236}">
              <a16:creationId xmlns:a16="http://schemas.microsoft.com/office/drawing/2014/main" id="{9DDE5265-0D57-4609-85D8-110C220A91B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3350" y="30299025"/>
          <a:ext cx="942975" cy="5619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133350</xdr:colOff>
      <xdr:row>213</xdr:row>
      <xdr:rowOff>57150</xdr:rowOff>
    </xdr:from>
    <xdr:to>
      <xdr:col>1</xdr:col>
      <xdr:colOff>1076325</xdr:colOff>
      <xdr:row>214</xdr:row>
      <xdr:rowOff>333375</xdr:rowOff>
    </xdr:to>
    <xdr:pic>
      <xdr:nvPicPr>
        <xdr:cNvPr id="3" name="图片 2" descr=" ">
          <a:extLst>
            <a:ext uri="{FF2B5EF4-FFF2-40B4-BE49-F238E27FC236}">
              <a16:creationId xmlns:a16="http://schemas.microsoft.com/office/drawing/2014/main" id="{9DDE5265-0D57-4609-85D8-110C220A91B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3350" y="31061025"/>
          <a:ext cx="942975" cy="6572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123825</xdr:colOff>
      <xdr:row>215</xdr:row>
      <xdr:rowOff>76200</xdr:rowOff>
    </xdr:from>
    <xdr:to>
      <xdr:col>1</xdr:col>
      <xdr:colOff>1066800</xdr:colOff>
      <xdr:row>216</xdr:row>
      <xdr:rowOff>352425</xdr:rowOff>
    </xdr:to>
    <xdr:pic>
      <xdr:nvPicPr>
        <xdr:cNvPr id="4" name="图片 2" descr=" ">
          <a:extLst>
            <a:ext uri="{FF2B5EF4-FFF2-40B4-BE49-F238E27FC236}">
              <a16:creationId xmlns:a16="http://schemas.microsoft.com/office/drawing/2014/main" id="{9DDE5265-0D57-4609-85D8-110C220A91B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3825" y="31842075"/>
          <a:ext cx="942975" cy="6572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85725</xdr:colOff>
      <xdr:row>217</xdr:row>
      <xdr:rowOff>66675</xdr:rowOff>
    </xdr:from>
    <xdr:to>
      <xdr:col>1</xdr:col>
      <xdr:colOff>1028700</xdr:colOff>
      <xdr:row>218</xdr:row>
      <xdr:rowOff>342900</xdr:rowOff>
    </xdr:to>
    <xdr:pic>
      <xdr:nvPicPr>
        <xdr:cNvPr id="5" name="图片 2" descr=" ">
          <a:extLst>
            <a:ext uri="{FF2B5EF4-FFF2-40B4-BE49-F238E27FC236}">
              <a16:creationId xmlns:a16="http://schemas.microsoft.com/office/drawing/2014/main" id="{9DDE5265-0D57-4609-85D8-110C220A91B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5725" y="32594550"/>
          <a:ext cx="942975" cy="6572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66674</xdr:colOff>
      <xdr:row>219</xdr:row>
      <xdr:rowOff>114300</xdr:rowOff>
    </xdr:from>
    <xdr:to>
      <xdr:col>1</xdr:col>
      <xdr:colOff>911731</xdr:colOff>
      <xdr:row>220</xdr:row>
      <xdr:rowOff>104775</xdr:rowOff>
    </xdr:to>
    <xdr:pic>
      <xdr:nvPicPr>
        <xdr:cNvPr id="6" name="图片 4" descr=" ">
          <a:extLst>
            <a:ext uri="{FF2B5EF4-FFF2-40B4-BE49-F238E27FC236}">
              <a16:creationId xmlns:a16="http://schemas.microsoft.com/office/drawing/2014/main" id="{564650D6-A1F2-4C1B-973C-421F01FCEE78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rot="5400000">
          <a:off x="303465" y="33167384"/>
          <a:ext cx="371475" cy="845057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28573</xdr:colOff>
      <xdr:row>221</xdr:row>
      <xdr:rowOff>76200</xdr:rowOff>
    </xdr:from>
    <xdr:to>
      <xdr:col>1</xdr:col>
      <xdr:colOff>1028699</xdr:colOff>
      <xdr:row>222</xdr:row>
      <xdr:rowOff>66675</xdr:rowOff>
    </xdr:to>
    <xdr:pic>
      <xdr:nvPicPr>
        <xdr:cNvPr id="7" name="图片 4" descr=" ">
          <a:extLst>
            <a:ext uri="{FF2B5EF4-FFF2-40B4-BE49-F238E27FC236}">
              <a16:creationId xmlns:a16="http://schemas.microsoft.com/office/drawing/2014/main" id="{564650D6-A1F2-4C1B-973C-421F01FCEE78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rot="5400000">
          <a:off x="342898" y="33623250"/>
          <a:ext cx="371475" cy="10001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38100</xdr:colOff>
      <xdr:row>223</xdr:row>
      <xdr:rowOff>76201</xdr:rowOff>
    </xdr:from>
    <xdr:to>
      <xdr:col>1</xdr:col>
      <xdr:colOff>1181099</xdr:colOff>
      <xdr:row>224</xdr:row>
      <xdr:rowOff>66676</xdr:rowOff>
    </xdr:to>
    <xdr:pic>
      <xdr:nvPicPr>
        <xdr:cNvPr id="8" name="图片 4" descr=" ">
          <a:extLst>
            <a:ext uri="{FF2B5EF4-FFF2-40B4-BE49-F238E27FC236}">
              <a16:creationId xmlns:a16="http://schemas.microsoft.com/office/drawing/2014/main" id="{564650D6-A1F2-4C1B-973C-421F01FCEE78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 rot="5400000">
          <a:off x="423862" y="34123314"/>
          <a:ext cx="371475" cy="114299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76199</xdr:colOff>
      <xdr:row>225</xdr:row>
      <xdr:rowOff>28575</xdr:rowOff>
    </xdr:from>
    <xdr:to>
      <xdr:col>1</xdr:col>
      <xdr:colOff>1114424</xdr:colOff>
      <xdr:row>226</xdr:row>
      <xdr:rowOff>161925</xdr:rowOff>
    </xdr:to>
    <xdr:pic>
      <xdr:nvPicPr>
        <xdr:cNvPr id="9" name="图片 6" descr=" ">
          <a:extLst>
            <a:ext uri="{FF2B5EF4-FFF2-40B4-BE49-F238E27FC236}">
              <a16:creationId xmlns:a16="http://schemas.microsoft.com/office/drawing/2014/main" id="{44A9CF52-977D-481D-8130-7836D8BFF54C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76199" y="35032950"/>
          <a:ext cx="1038225" cy="5143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76199</xdr:colOff>
      <xdr:row>227</xdr:row>
      <xdr:rowOff>28575</xdr:rowOff>
    </xdr:from>
    <xdr:to>
      <xdr:col>1</xdr:col>
      <xdr:colOff>1114424</xdr:colOff>
      <xdr:row>228</xdr:row>
      <xdr:rowOff>161925</xdr:rowOff>
    </xdr:to>
    <xdr:pic>
      <xdr:nvPicPr>
        <xdr:cNvPr id="10" name="图片 6" descr=" ">
          <a:extLst>
            <a:ext uri="{FF2B5EF4-FFF2-40B4-BE49-F238E27FC236}">
              <a16:creationId xmlns:a16="http://schemas.microsoft.com/office/drawing/2014/main" id="{44A9CF52-977D-481D-8130-7836D8BFF54C}"/>
            </a:ext>
          </a:extLst>
        </xdr:cNvPr>
        <xdr:cNvPicPr/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76199" y="35032950"/>
          <a:ext cx="1038225" cy="5143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285750</xdr:colOff>
      <xdr:row>229</xdr:row>
      <xdr:rowOff>38100</xdr:rowOff>
    </xdr:from>
    <xdr:to>
      <xdr:col>1</xdr:col>
      <xdr:colOff>971392</xdr:colOff>
      <xdr:row>230</xdr:row>
      <xdr:rowOff>171450</xdr:rowOff>
    </xdr:to>
    <xdr:pic>
      <xdr:nvPicPr>
        <xdr:cNvPr id="12" name="图片 8" descr=" ">
          <a:extLst>
            <a:ext uri="{FF2B5EF4-FFF2-40B4-BE49-F238E27FC236}">
              <a16:creationId xmlns:a16="http://schemas.microsoft.com/office/drawing/2014/main" id="{26E607E3-9FEE-47BA-8B60-291AF1799BA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85750" y="36185475"/>
          <a:ext cx="685642" cy="5143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285750</xdr:colOff>
      <xdr:row>231</xdr:row>
      <xdr:rowOff>38100</xdr:rowOff>
    </xdr:from>
    <xdr:to>
      <xdr:col>1</xdr:col>
      <xdr:colOff>971392</xdr:colOff>
      <xdr:row>232</xdr:row>
      <xdr:rowOff>171450</xdr:rowOff>
    </xdr:to>
    <xdr:pic>
      <xdr:nvPicPr>
        <xdr:cNvPr id="13" name="图片 8" descr=" ">
          <a:extLst>
            <a:ext uri="{FF2B5EF4-FFF2-40B4-BE49-F238E27FC236}">
              <a16:creationId xmlns:a16="http://schemas.microsoft.com/office/drawing/2014/main" id="{26E607E3-9FEE-47BA-8B60-291AF1799BA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85750" y="36185475"/>
          <a:ext cx="685642" cy="5143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7</xdr:col>
      <xdr:colOff>476250</xdr:colOff>
      <xdr:row>4</xdr:row>
      <xdr:rowOff>31430</xdr:rowOff>
    </xdr:to>
    <xdr:pic>
      <xdr:nvPicPr>
        <xdr:cNvPr id="15" name="Picture 14" descr="GOODWELL ENERGY PHILTECH CORPORATION heading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" y="0"/>
          <a:ext cx="9629774" cy="793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G233"/>
  <sheetViews>
    <sheetView tabSelected="1" zoomScaleNormal="100" zoomScalePageLayoutView="130" workbookViewId="0">
      <selection activeCell="G15" sqref="G15"/>
    </sheetView>
  </sheetViews>
  <sheetFormatPr defaultRowHeight="15" x14ac:dyDescent="0.25"/>
  <cols>
    <col min="1" max="1" width="5" customWidth="1"/>
    <col min="2" max="2" width="18.140625" customWidth="1"/>
    <col min="3" max="3" width="45" customWidth="1"/>
    <col min="4" max="4" width="20.7109375" style="21" customWidth="1"/>
    <col min="5" max="7" width="16.140625" style="21" customWidth="1"/>
    <col min="8" max="8" width="9.140625" customWidth="1"/>
  </cols>
  <sheetData>
    <row r="6" spans="1:7" ht="25.5" customHeight="1" x14ac:dyDescent="0.5">
      <c r="A6" s="57" t="s">
        <v>282</v>
      </c>
      <c r="B6" s="57"/>
      <c r="C6" s="57"/>
      <c r="D6" s="57"/>
      <c r="E6" s="57"/>
      <c r="F6" s="57"/>
      <c r="G6" s="57"/>
    </row>
    <row r="7" spans="1:7" s="23" customFormat="1" ht="18" customHeight="1" x14ac:dyDescent="0.2">
      <c r="A7" s="58" t="s">
        <v>311</v>
      </c>
      <c r="B7" s="58"/>
      <c r="C7" s="58"/>
      <c r="D7" s="58"/>
      <c r="E7" s="58"/>
      <c r="F7" s="58"/>
      <c r="G7" s="58"/>
    </row>
    <row r="8" spans="1:7" s="23" customFormat="1" ht="14.25" customHeight="1" x14ac:dyDescent="0.2">
      <c r="A8" s="22"/>
      <c r="B8" s="22"/>
      <c r="C8" s="24"/>
      <c r="D8" s="41"/>
      <c r="E8" s="22"/>
      <c r="F8" s="26"/>
      <c r="G8" s="27"/>
    </row>
    <row r="9" spans="1:7" x14ac:dyDescent="0.25">
      <c r="B9" s="1" t="s">
        <v>252</v>
      </c>
    </row>
    <row r="10" spans="1:7" ht="15.75" customHeight="1" thickBot="1" x14ac:dyDescent="0.3">
      <c r="B10" s="3" t="s">
        <v>43</v>
      </c>
    </row>
    <row r="11" spans="1:7" s="5" customFormat="1" ht="15.75" customHeight="1" x14ac:dyDescent="0.25">
      <c r="B11" s="7" t="s">
        <v>222</v>
      </c>
      <c r="C11" s="8" t="s">
        <v>223</v>
      </c>
      <c r="D11" s="29" t="s">
        <v>283</v>
      </c>
      <c r="E11" s="29" t="s">
        <v>224</v>
      </c>
      <c r="F11" s="30" t="s">
        <v>257</v>
      </c>
      <c r="G11" s="30" t="s">
        <v>258</v>
      </c>
    </row>
    <row r="12" spans="1:7" x14ac:dyDescent="0.25">
      <c r="B12" s="9" t="s">
        <v>0</v>
      </c>
      <c r="C12" s="6" t="s">
        <v>253</v>
      </c>
      <c r="D12" s="28">
        <f>9.2*620</f>
        <v>5704</v>
      </c>
      <c r="E12" s="28">
        <v>5580</v>
      </c>
      <c r="F12" s="28">
        <v>5270</v>
      </c>
      <c r="G12" s="28">
        <v>4960</v>
      </c>
    </row>
    <row r="13" spans="1:7" x14ac:dyDescent="0.25">
      <c r="B13" s="9" t="s">
        <v>305</v>
      </c>
      <c r="C13" s="6" t="s">
        <v>306</v>
      </c>
      <c r="D13" s="28"/>
      <c r="E13" s="28">
        <v>5890</v>
      </c>
      <c r="F13" s="28">
        <v>5580</v>
      </c>
      <c r="G13" s="28">
        <v>5456</v>
      </c>
    </row>
    <row r="14" spans="1:7" x14ac:dyDescent="0.25">
      <c r="B14" s="9" t="s">
        <v>312</v>
      </c>
      <c r="C14" s="6" t="s">
        <v>313</v>
      </c>
      <c r="D14" s="28"/>
      <c r="E14" s="28">
        <v>5937.5</v>
      </c>
      <c r="F14" s="28">
        <v>5625</v>
      </c>
      <c r="G14" s="28">
        <v>5500</v>
      </c>
    </row>
    <row r="15" spans="1:7" x14ac:dyDescent="0.25">
      <c r="B15" s="9" t="s">
        <v>1</v>
      </c>
      <c r="C15" s="6" t="s">
        <v>254</v>
      </c>
      <c r="D15" s="28">
        <v>6100</v>
      </c>
      <c r="E15" s="28">
        <v>5985</v>
      </c>
      <c r="F15" s="28">
        <v>5670</v>
      </c>
      <c r="G15" s="28">
        <v>5544</v>
      </c>
    </row>
    <row r="16" spans="1:7" x14ac:dyDescent="0.25">
      <c r="B16" s="9" t="s">
        <v>251</v>
      </c>
      <c r="C16" s="6" t="s">
        <v>255</v>
      </c>
      <c r="D16" s="28">
        <v>7000</v>
      </c>
      <c r="E16" s="28">
        <f>720*9.5</f>
        <v>6840</v>
      </c>
      <c r="F16" s="28">
        <v>6480</v>
      </c>
      <c r="G16" s="28">
        <v>6336</v>
      </c>
    </row>
    <row r="17" spans="2:7" x14ac:dyDescent="0.25">
      <c r="B17" s="9" t="s">
        <v>250</v>
      </c>
      <c r="C17" s="6" t="s">
        <v>256</v>
      </c>
      <c r="D17" s="28">
        <v>7000</v>
      </c>
      <c r="E17" s="28">
        <f>725*9.5</f>
        <v>6887.5</v>
      </c>
      <c r="F17" s="28">
        <v>6525</v>
      </c>
      <c r="G17" s="28">
        <v>6380</v>
      </c>
    </row>
    <row r="19" spans="2:7" x14ac:dyDescent="0.25">
      <c r="B19" s="1" t="s">
        <v>2</v>
      </c>
    </row>
    <row r="20" spans="2:7" ht="12" customHeight="1" thickBot="1" x14ac:dyDescent="0.3">
      <c r="B20" s="59" t="s">
        <v>41</v>
      </c>
      <c r="C20" s="59"/>
      <c r="D20" s="59"/>
      <c r="E20" s="59"/>
    </row>
    <row r="21" spans="2:7" s="5" customFormat="1" ht="15.75" customHeight="1" x14ac:dyDescent="0.25">
      <c r="B21" s="7" t="s">
        <v>222</v>
      </c>
      <c r="C21" s="8" t="s">
        <v>223</v>
      </c>
      <c r="D21" s="29" t="s">
        <v>283</v>
      </c>
      <c r="E21" s="29" t="s">
        <v>224</v>
      </c>
      <c r="F21" s="30" t="s">
        <v>257</v>
      </c>
      <c r="G21" s="30" t="s">
        <v>258</v>
      </c>
    </row>
    <row r="22" spans="2:7" x14ac:dyDescent="0.25">
      <c r="B22" s="9" t="s">
        <v>3</v>
      </c>
      <c r="C22" s="6" t="s">
        <v>4</v>
      </c>
      <c r="D22" s="28"/>
      <c r="E22" s="28">
        <v>38000</v>
      </c>
      <c r="F22" s="28">
        <v>35000</v>
      </c>
      <c r="G22" s="28">
        <v>35000</v>
      </c>
    </row>
    <row r="23" spans="2:7" x14ac:dyDescent="0.25">
      <c r="B23" s="9" t="s">
        <v>5</v>
      </c>
      <c r="C23" s="6" t="s">
        <v>6</v>
      </c>
      <c r="D23" s="28">
        <v>51000</v>
      </c>
      <c r="E23" s="28">
        <v>50000</v>
      </c>
      <c r="F23" s="28">
        <v>45000</v>
      </c>
      <c r="G23" s="28">
        <v>45000</v>
      </c>
    </row>
    <row r="24" spans="2:7" x14ac:dyDescent="0.25">
      <c r="B24" s="9" t="s">
        <v>7</v>
      </c>
      <c r="C24" s="6" t="s">
        <v>8</v>
      </c>
      <c r="D24" s="28">
        <v>73500</v>
      </c>
      <c r="E24" s="28">
        <v>67000</v>
      </c>
      <c r="F24" s="28">
        <v>65000</v>
      </c>
      <c r="G24" s="28">
        <v>62000</v>
      </c>
    </row>
    <row r="25" spans="2:7" x14ac:dyDescent="0.25">
      <c r="B25" s="9" t="s">
        <v>9</v>
      </c>
      <c r="C25" s="6" t="s">
        <v>10</v>
      </c>
      <c r="D25" s="28">
        <v>85000</v>
      </c>
      <c r="E25" s="28">
        <v>82000</v>
      </c>
      <c r="F25" s="28">
        <v>78000</v>
      </c>
      <c r="G25" s="28">
        <v>74000</v>
      </c>
    </row>
    <row r="26" spans="2:7" ht="15.75" thickBot="1" x14ac:dyDescent="0.3">
      <c r="B26" s="10" t="s">
        <v>11</v>
      </c>
      <c r="C26" s="11" t="s">
        <v>12</v>
      </c>
      <c r="D26" s="31">
        <v>86000</v>
      </c>
      <c r="E26" s="31">
        <v>84000</v>
      </c>
      <c r="F26" s="31">
        <v>80000</v>
      </c>
      <c r="G26" s="31">
        <v>78000</v>
      </c>
    </row>
    <row r="28" spans="2:7" x14ac:dyDescent="0.25">
      <c r="B28" s="1" t="s">
        <v>244</v>
      </c>
    </row>
    <row r="29" spans="2:7" ht="15.75" thickBot="1" x14ac:dyDescent="0.3">
      <c r="B29" s="3" t="s">
        <v>42</v>
      </c>
    </row>
    <row r="30" spans="2:7" s="5" customFormat="1" ht="15.75" customHeight="1" x14ac:dyDescent="0.25">
      <c r="B30" s="7" t="s">
        <v>222</v>
      </c>
      <c r="C30" s="8" t="s">
        <v>223</v>
      </c>
      <c r="D30" s="29" t="s">
        <v>283</v>
      </c>
      <c r="E30" s="29" t="s">
        <v>224</v>
      </c>
      <c r="F30" s="30" t="s">
        <v>257</v>
      </c>
      <c r="G30" s="30" t="s">
        <v>258</v>
      </c>
    </row>
    <row r="31" spans="2:7" s="25" customFormat="1" ht="15.75" customHeight="1" x14ac:dyDescent="0.25">
      <c r="B31" s="36" t="s">
        <v>245</v>
      </c>
      <c r="C31" s="32" t="s">
        <v>246</v>
      </c>
      <c r="D31" s="42">
        <v>170000</v>
      </c>
      <c r="E31" s="33">
        <v>160000</v>
      </c>
      <c r="F31" s="34">
        <v>155000</v>
      </c>
      <c r="G31" s="34">
        <v>150000</v>
      </c>
    </row>
    <row r="32" spans="2:7" ht="30.75" thickBot="1" x14ac:dyDescent="0.3">
      <c r="B32" s="13" t="s">
        <v>304</v>
      </c>
      <c r="C32" s="14" t="s">
        <v>247</v>
      </c>
      <c r="D32" s="46">
        <v>260000</v>
      </c>
      <c r="E32" s="37">
        <v>250000</v>
      </c>
      <c r="F32" s="37">
        <v>240000</v>
      </c>
      <c r="G32" s="37">
        <v>235000</v>
      </c>
    </row>
    <row r="33" spans="2:7" x14ac:dyDescent="0.25">
      <c r="B33" s="1" t="s">
        <v>13</v>
      </c>
    </row>
    <row r="34" spans="2:7" ht="15.75" thickBot="1" x14ac:dyDescent="0.3">
      <c r="B34" s="3" t="s">
        <v>42</v>
      </c>
    </row>
    <row r="35" spans="2:7" s="5" customFormat="1" ht="15.75" customHeight="1" x14ac:dyDescent="0.25">
      <c r="B35" s="7" t="s">
        <v>222</v>
      </c>
      <c r="C35" s="8" t="s">
        <v>223</v>
      </c>
      <c r="D35" s="29" t="s">
        <v>283</v>
      </c>
      <c r="E35" s="29" t="s">
        <v>224</v>
      </c>
      <c r="F35" s="30" t="s">
        <v>257</v>
      </c>
      <c r="G35" s="30" t="s">
        <v>258</v>
      </c>
    </row>
    <row r="36" spans="2:7" ht="15.75" thickBot="1" x14ac:dyDescent="0.3">
      <c r="B36" s="10" t="s">
        <v>14</v>
      </c>
      <c r="C36" s="11" t="s">
        <v>15</v>
      </c>
      <c r="D36" s="31">
        <v>260000</v>
      </c>
      <c r="E36" s="31">
        <v>250000</v>
      </c>
      <c r="F36" s="31">
        <v>240000</v>
      </c>
      <c r="G36" s="31">
        <v>235000</v>
      </c>
    </row>
    <row r="38" spans="2:7" x14ac:dyDescent="0.25">
      <c r="B38" s="1" t="s">
        <v>16</v>
      </c>
      <c r="C38" s="1"/>
      <c r="D38" s="44"/>
    </row>
    <row r="39" spans="2:7" ht="15.75" thickBot="1" x14ac:dyDescent="0.3">
      <c r="B39" s="3" t="s">
        <v>42</v>
      </c>
    </row>
    <row r="40" spans="2:7" s="5" customFormat="1" ht="15.75" customHeight="1" x14ac:dyDescent="0.25">
      <c r="B40" s="7" t="s">
        <v>222</v>
      </c>
      <c r="C40" s="8" t="s">
        <v>223</v>
      </c>
      <c r="D40" s="29" t="s">
        <v>283</v>
      </c>
      <c r="E40" s="29" t="s">
        <v>224</v>
      </c>
      <c r="F40" s="30" t="s">
        <v>257</v>
      </c>
      <c r="G40" s="30" t="s">
        <v>258</v>
      </c>
    </row>
    <row r="41" spans="2:7" x14ac:dyDescent="0.25">
      <c r="B41" s="9" t="s">
        <v>17</v>
      </c>
      <c r="C41" s="6" t="s">
        <v>18</v>
      </c>
      <c r="D41" s="28">
        <v>18000</v>
      </c>
      <c r="E41" s="28">
        <v>16000</v>
      </c>
      <c r="F41" s="28">
        <v>15000</v>
      </c>
      <c r="G41" s="28">
        <v>13000</v>
      </c>
    </row>
    <row r="42" spans="2:7" x14ac:dyDescent="0.25">
      <c r="B42" s="9" t="s">
        <v>19</v>
      </c>
      <c r="C42" s="6" t="s">
        <v>20</v>
      </c>
      <c r="D42" s="28">
        <v>20000</v>
      </c>
      <c r="E42" s="28">
        <v>19000</v>
      </c>
      <c r="F42" s="28">
        <v>18000</v>
      </c>
      <c r="G42" s="28">
        <v>16000</v>
      </c>
    </row>
    <row r="43" spans="2:7" x14ac:dyDescent="0.25">
      <c r="B43" s="9" t="s">
        <v>21</v>
      </c>
      <c r="C43" s="6" t="s">
        <v>24</v>
      </c>
      <c r="D43" s="28">
        <v>28000</v>
      </c>
      <c r="E43" s="28">
        <v>25000</v>
      </c>
      <c r="F43" s="28">
        <v>24000</v>
      </c>
      <c r="G43" s="28">
        <v>22000</v>
      </c>
    </row>
    <row r="44" spans="2:7" x14ac:dyDescent="0.25">
      <c r="B44" s="9" t="s">
        <v>22</v>
      </c>
      <c r="C44" s="6" t="s">
        <v>25</v>
      </c>
      <c r="D44" s="28">
        <v>42000</v>
      </c>
      <c r="E44" s="28">
        <v>40000</v>
      </c>
      <c r="F44" s="28">
        <v>37000</v>
      </c>
      <c r="G44" s="28">
        <v>35000</v>
      </c>
    </row>
    <row r="45" spans="2:7" ht="30.75" thickBot="1" x14ac:dyDescent="0.3">
      <c r="B45" s="13" t="s">
        <v>23</v>
      </c>
      <c r="C45" s="14" t="s">
        <v>26</v>
      </c>
      <c r="D45" s="46">
        <v>42000</v>
      </c>
      <c r="E45" s="37">
        <v>42000</v>
      </c>
      <c r="F45" s="37">
        <v>40000</v>
      </c>
      <c r="G45" s="37">
        <v>37000</v>
      </c>
    </row>
    <row r="51" spans="2:7" x14ac:dyDescent="0.25">
      <c r="B51" s="1" t="s">
        <v>27</v>
      </c>
    </row>
    <row r="52" spans="2:7" ht="15.75" thickBot="1" x14ac:dyDescent="0.3">
      <c r="B52" s="3" t="s">
        <v>42</v>
      </c>
    </row>
    <row r="53" spans="2:7" s="5" customFormat="1" ht="15.75" customHeight="1" x14ac:dyDescent="0.25">
      <c r="B53" s="7" t="s">
        <v>222</v>
      </c>
      <c r="C53" s="8" t="s">
        <v>223</v>
      </c>
      <c r="D53" s="29" t="s">
        <v>283</v>
      </c>
      <c r="E53" s="29" t="s">
        <v>224</v>
      </c>
      <c r="F53" s="30" t="s">
        <v>257</v>
      </c>
      <c r="G53" s="30" t="s">
        <v>258</v>
      </c>
    </row>
    <row r="54" spans="2:7" x14ac:dyDescent="0.25">
      <c r="B54" s="9" t="s">
        <v>28</v>
      </c>
      <c r="C54" s="6" t="s">
        <v>44</v>
      </c>
      <c r="D54" s="28">
        <v>160000</v>
      </c>
      <c r="E54" s="28">
        <v>155000</v>
      </c>
      <c r="F54" s="28">
        <v>150000</v>
      </c>
      <c r="G54" s="28">
        <v>140000</v>
      </c>
    </row>
    <row r="55" spans="2:7" x14ac:dyDescent="0.25">
      <c r="B55" s="9" t="s">
        <v>29</v>
      </c>
      <c r="C55" s="6" t="s">
        <v>45</v>
      </c>
      <c r="D55" s="28">
        <v>150000</v>
      </c>
      <c r="E55" s="28">
        <v>175000</v>
      </c>
      <c r="F55" s="28">
        <v>160000</v>
      </c>
      <c r="G55" s="28">
        <v>150000</v>
      </c>
    </row>
    <row r="56" spans="2:7" x14ac:dyDescent="0.25">
      <c r="B56" s="9" t="s">
        <v>30</v>
      </c>
      <c r="C56" s="6" t="s">
        <v>46</v>
      </c>
      <c r="D56" s="28">
        <v>177000</v>
      </c>
      <c r="E56" s="28">
        <v>180000</v>
      </c>
      <c r="F56" s="28">
        <v>170000</v>
      </c>
      <c r="G56" s="28">
        <v>165000</v>
      </c>
    </row>
    <row r="57" spans="2:7" x14ac:dyDescent="0.25">
      <c r="B57" s="9" t="s">
        <v>31</v>
      </c>
      <c r="C57" s="6" t="s">
        <v>46</v>
      </c>
      <c r="D57" s="28">
        <v>177000</v>
      </c>
      <c r="E57" s="28">
        <v>160000</v>
      </c>
      <c r="F57" s="28">
        <v>145000</v>
      </c>
      <c r="G57" s="28">
        <v>140000</v>
      </c>
    </row>
    <row r="58" spans="2:7" x14ac:dyDescent="0.25">
      <c r="B58" s="9" t="s">
        <v>32</v>
      </c>
      <c r="C58" s="6" t="s">
        <v>47</v>
      </c>
      <c r="D58" s="28">
        <v>260000</v>
      </c>
      <c r="E58" s="28">
        <v>240000</v>
      </c>
      <c r="F58" s="28">
        <v>220000</v>
      </c>
      <c r="G58" s="28">
        <v>210000</v>
      </c>
    </row>
    <row r="59" spans="2:7" ht="15.75" thickBot="1" x14ac:dyDescent="0.3">
      <c r="B59" s="10" t="s">
        <v>33</v>
      </c>
      <c r="C59" s="11" t="s">
        <v>48</v>
      </c>
      <c r="D59" s="31">
        <v>290000</v>
      </c>
      <c r="E59" s="31">
        <v>280000</v>
      </c>
      <c r="F59" s="31">
        <v>250000</v>
      </c>
      <c r="G59" s="31">
        <v>240000</v>
      </c>
    </row>
    <row r="61" spans="2:7" x14ac:dyDescent="0.25">
      <c r="B61" s="1" t="s">
        <v>34</v>
      </c>
    </row>
    <row r="62" spans="2:7" ht="15.75" thickBot="1" x14ac:dyDescent="0.3">
      <c r="B62" s="3" t="s">
        <v>42</v>
      </c>
    </row>
    <row r="63" spans="2:7" s="5" customFormat="1" ht="15.75" customHeight="1" x14ac:dyDescent="0.25">
      <c r="B63" s="7" t="s">
        <v>222</v>
      </c>
      <c r="C63" s="8" t="s">
        <v>223</v>
      </c>
      <c r="D63" s="29" t="s">
        <v>283</v>
      </c>
      <c r="E63" s="29" t="s">
        <v>224</v>
      </c>
      <c r="F63" s="30" t="s">
        <v>257</v>
      </c>
      <c r="G63" s="30" t="s">
        <v>258</v>
      </c>
    </row>
    <row r="64" spans="2:7" x14ac:dyDescent="0.25">
      <c r="B64" s="9" t="s">
        <v>35</v>
      </c>
      <c r="C64" s="6" t="s">
        <v>64</v>
      </c>
      <c r="D64" s="28">
        <v>130000</v>
      </c>
      <c r="E64" s="28">
        <v>120000</v>
      </c>
      <c r="F64" s="28">
        <v>110000</v>
      </c>
      <c r="G64" s="28">
        <v>105000</v>
      </c>
    </row>
    <row r="65" spans="2:7" x14ac:dyDescent="0.25">
      <c r="B65" s="9" t="s">
        <v>36</v>
      </c>
      <c r="C65" s="6" t="s">
        <v>65</v>
      </c>
      <c r="D65" s="28">
        <v>155000</v>
      </c>
      <c r="E65" s="28">
        <v>150000</v>
      </c>
      <c r="F65" s="28">
        <v>135000</v>
      </c>
      <c r="G65" s="28">
        <v>125000</v>
      </c>
    </row>
    <row r="66" spans="2:7" x14ac:dyDescent="0.25">
      <c r="B66" s="9" t="s">
        <v>37</v>
      </c>
      <c r="C66" s="6" t="s">
        <v>66</v>
      </c>
      <c r="D66" s="28">
        <v>170000</v>
      </c>
      <c r="E66" s="28">
        <v>160000</v>
      </c>
      <c r="F66" s="28">
        <v>145000</v>
      </c>
      <c r="G66" s="28">
        <v>140000</v>
      </c>
    </row>
    <row r="67" spans="2:7" ht="15.75" thickBot="1" x14ac:dyDescent="0.3">
      <c r="B67" s="10" t="s">
        <v>38</v>
      </c>
      <c r="C67" s="11" t="s">
        <v>67</v>
      </c>
      <c r="D67" s="31">
        <v>250000</v>
      </c>
      <c r="E67" s="31">
        <v>240000</v>
      </c>
      <c r="F67" s="31">
        <v>220000</v>
      </c>
      <c r="G67" s="31">
        <v>210000</v>
      </c>
    </row>
    <row r="69" spans="2:7" x14ac:dyDescent="0.25">
      <c r="B69" s="1" t="s">
        <v>39</v>
      </c>
    </row>
    <row r="70" spans="2:7" ht="15.75" thickBot="1" x14ac:dyDescent="0.3">
      <c r="B70" s="3" t="s">
        <v>42</v>
      </c>
    </row>
    <row r="71" spans="2:7" s="5" customFormat="1" ht="15.75" customHeight="1" x14ac:dyDescent="0.25">
      <c r="B71" s="7" t="s">
        <v>222</v>
      </c>
      <c r="C71" s="8" t="s">
        <v>223</v>
      </c>
      <c r="D71" s="29" t="s">
        <v>283</v>
      </c>
      <c r="E71" s="29" t="s">
        <v>224</v>
      </c>
      <c r="F71" s="30" t="s">
        <v>257</v>
      </c>
      <c r="G71" s="30" t="s">
        <v>258</v>
      </c>
    </row>
    <row r="72" spans="2:7" ht="15.75" thickBot="1" x14ac:dyDescent="0.3">
      <c r="B72" s="10" t="s">
        <v>40</v>
      </c>
      <c r="C72" s="11" t="s">
        <v>63</v>
      </c>
      <c r="D72" s="31">
        <v>32000</v>
      </c>
      <c r="E72" s="31">
        <v>30000</v>
      </c>
      <c r="F72" s="31">
        <v>28000</v>
      </c>
      <c r="G72" s="31">
        <v>26000</v>
      </c>
    </row>
    <row r="74" spans="2:7" x14ac:dyDescent="0.25">
      <c r="B74" s="1" t="s">
        <v>49</v>
      </c>
    </row>
    <row r="75" spans="2:7" ht="15.75" thickBot="1" x14ac:dyDescent="0.3">
      <c r="B75" s="3" t="s">
        <v>42</v>
      </c>
    </row>
    <row r="76" spans="2:7" s="5" customFormat="1" ht="15.75" customHeight="1" x14ac:dyDescent="0.25">
      <c r="B76" s="7" t="s">
        <v>222</v>
      </c>
      <c r="C76" s="8" t="s">
        <v>223</v>
      </c>
      <c r="D76" s="29" t="s">
        <v>283</v>
      </c>
      <c r="E76" s="29" t="s">
        <v>224</v>
      </c>
      <c r="F76" s="30" t="s">
        <v>257</v>
      </c>
      <c r="G76" s="30" t="s">
        <v>258</v>
      </c>
    </row>
    <row r="77" spans="2:7" ht="30" x14ac:dyDescent="0.25">
      <c r="B77" s="16" t="s">
        <v>50</v>
      </c>
      <c r="C77" s="15" t="s">
        <v>51</v>
      </c>
      <c r="D77" s="45">
        <v>45000</v>
      </c>
      <c r="E77" s="35">
        <v>42000</v>
      </c>
      <c r="F77" s="35">
        <v>40000</v>
      </c>
      <c r="G77" s="35">
        <v>38000</v>
      </c>
    </row>
    <row r="78" spans="2:7" ht="30" x14ac:dyDescent="0.25">
      <c r="B78" s="16" t="s">
        <v>52</v>
      </c>
      <c r="C78" s="15" t="s">
        <v>58</v>
      </c>
      <c r="D78" s="45">
        <v>120000</v>
      </c>
      <c r="E78" s="35">
        <v>110000</v>
      </c>
      <c r="F78" s="35">
        <v>107000</v>
      </c>
      <c r="G78" s="35">
        <v>105000</v>
      </c>
    </row>
    <row r="79" spans="2:7" x14ac:dyDescent="0.25">
      <c r="B79" s="16" t="s">
        <v>248</v>
      </c>
      <c r="C79" s="15" t="s">
        <v>249</v>
      </c>
      <c r="D79" s="45">
        <v>140000</v>
      </c>
      <c r="E79" s="35">
        <v>135000</v>
      </c>
      <c r="F79" s="28">
        <v>132000</v>
      </c>
      <c r="G79" s="28">
        <v>130000</v>
      </c>
    </row>
    <row r="80" spans="2:7" ht="30" x14ac:dyDescent="0.25">
      <c r="B80" s="17" t="s">
        <v>53</v>
      </c>
      <c r="C80" s="15" t="s">
        <v>59</v>
      </c>
      <c r="D80" s="60">
        <v>2600000</v>
      </c>
      <c r="E80" s="60"/>
      <c r="F80" s="63">
        <v>2500000</v>
      </c>
      <c r="G80" s="64"/>
    </row>
    <row r="81" spans="2:7" x14ac:dyDescent="0.25">
      <c r="B81" s="17" t="s">
        <v>309</v>
      </c>
      <c r="C81" s="15" t="s">
        <v>310</v>
      </c>
      <c r="D81" s="61">
        <v>2500000</v>
      </c>
      <c r="E81" s="62"/>
      <c r="F81" s="63">
        <v>2400000</v>
      </c>
      <c r="G81" s="64"/>
    </row>
    <row r="82" spans="2:7" ht="30" x14ac:dyDescent="0.25">
      <c r="B82" s="16" t="s">
        <v>54</v>
      </c>
      <c r="C82" s="15" t="s">
        <v>60</v>
      </c>
      <c r="D82" s="45">
        <v>98000</v>
      </c>
      <c r="E82" s="35">
        <v>95000</v>
      </c>
      <c r="F82" s="35">
        <v>92000</v>
      </c>
      <c r="G82" s="35">
        <v>90000</v>
      </c>
    </row>
    <row r="83" spans="2:7" x14ac:dyDescent="0.25">
      <c r="B83" s="16" t="s">
        <v>307</v>
      </c>
      <c r="C83" s="15" t="s">
        <v>308</v>
      </c>
      <c r="D83" s="45">
        <v>95000</v>
      </c>
      <c r="E83" s="35">
        <v>92000</v>
      </c>
      <c r="F83" s="35">
        <v>90000</v>
      </c>
      <c r="G83" s="35">
        <v>88000</v>
      </c>
    </row>
    <row r="84" spans="2:7" x14ac:dyDescent="0.25">
      <c r="B84" s="16" t="s">
        <v>55</v>
      </c>
      <c r="C84" s="15" t="s">
        <v>61</v>
      </c>
      <c r="D84" s="45">
        <v>72000</v>
      </c>
      <c r="E84" s="35">
        <v>70000</v>
      </c>
      <c r="F84" s="28">
        <v>68000</v>
      </c>
      <c r="G84" s="28">
        <v>65000</v>
      </c>
    </row>
    <row r="85" spans="2:7" ht="15.75" thickBot="1" x14ac:dyDescent="0.3">
      <c r="B85" s="13" t="s">
        <v>56</v>
      </c>
      <c r="C85" s="18" t="s">
        <v>62</v>
      </c>
      <c r="D85" s="46">
        <v>92000</v>
      </c>
      <c r="E85" s="37">
        <v>90000</v>
      </c>
      <c r="F85" s="31">
        <v>88000</v>
      </c>
      <c r="G85" s="31">
        <v>85000</v>
      </c>
    </row>
    <row r="88" spans="2:7" ht="15.75" thickBot="1" x14ac:dyDescent="0.3">
      <c r="B88" s="1" t="s">
        <v>68</v>
      </c>
    </row>
    <row r="89" spans="2:7" s="5" customFormat="1" ht="15.75" customHeight="1" x14ac:dyDescent="0.25">
      <c r="B89" s="7" t="s">
        <v>222</v>
      </c>
      <c r="C89" s="8" t="s">
        <v>223</v>
      </c>
      <c r="D89" s="29" t="s">
        <v>283</v>
      </c>
      <c r="E89" s="29" t="s">
        <v>224</v>
      </c>
      <c r="F89" s="30" t="s">
        <v>257</v>
      </c>
      <c r="G89" s="30" t="s">
        <v>258</v>
      </c>
    </row>
    <row r="90" spans="2:7" s="2" customFormat="1" x14ac:dyDescent="0.25">
      <c r="B90" s="16" t="s">
        <v>69</v>
      </c>
      <c r="C90" s="15" t="s">
        <v>70</v>
      </c>
      <c r="D90" s="45">
        <v>30000</v>
      </c>
      <c r="E90" s="35">
        <v>28000</v>
      </c>
      <c r="F90" s="35">
        <v>25000</v>
      </c>
      <c r="G90" s="35">
        <v>24000</v>
      </c>
    </row>
    <row r="91" spans="2:7" s="2" customFormat="1" x14ac:dyDescent="0.25">
      <c r="B91" s="16" t="s">
        <v>71</v>
      </c>
      <c r="C91" s="15" t="s">
        <v>81</v>
      </c>
      <c r="D91" s="45">
        <v>5500</v>
      </c>
      <c r="E91" s="35">
        <v>5500</v>
      </c>
      <c r="F91" s="35">
        <v>5000</v>
      </c>
      <c r="G91" s="35">
        <v>4800</v>
      </c>
    </row>
    <row r="92" spans="2:7" s="2" customFormat="1" ht="30" x14ac:dyDescent="0.25">
      <c r="B92" s="16" t="s">
        <v>72</v>
      </c>
      <c r="C92" s="15" t="s">
        <v>80</v>
      </c>
      <c r="D92" s="45">
        <v>5500</v>
      </c>
      <c r="E92" s="35">
        <v>5500</v>
      </c>
      <c r="F92" s="35">
        <v>5000</v>
      </c>
      <c r="G92" s="35">
        <v>4800</v>
      </c>
    </row>
    <row r="93" spans="2:7" s="2" customFormat="1" ht="30" x14ac:dyDescent="0.25">
      <c r="B93" s="16" t="s">
        <v>73</v>
      </c>
      <c r="C93" s="15" t="s">
        <v>79</v>
      </c>
      <c r="D93" s="45">
        <v>5500</v>
      </c>
      <c r="E93" s="35">
        <v>5500</v>
      </c>
      <c r="F93" s="35">
        <v>5000</v>
      </c>
      <c r="G93" s="35">
        <v>4800</v>
      </c>
    </row>
    <row r="94" spans="2:7" s="2" customFormat="1" x14ac:dyDescent="0.25">
      <c r="B94" s="16" t="s">
        <v>74</v>
      </c>
      <c r="C94" s="15" t="s">
        <v>82</v>
      </c>
      <c r="D94" s="45">
        <v>5500</v>
      </c>
      <c r="E94" s="35">
        <v>5500</v>
      </c>
      <c r="F94" s="35">
        <v>5000</v>
      </c>
      <c r="G94" s="35">
        <v>4800</v>
      </c>
    </row>
    <row r="95" spans="2:7" s="2" customFormat="1" x14ac:dyDescent="0.25">
      <c r="B95" s="16" t="s">
        <v>75</v>
      </c>
      <c r="C95" s="15" t="s">
        <v>77</v>
      </c>
      <c r="D95" s="45">
        <v>5000</v>
      </c>
      <c r="E95" s="35">
        <v>5000</v>
      </c>
      <c r="F95" s="35">
        <v>4800</v>
      </c>
      <c r="G95" s="35">
        <v>4750</v>
      </c>
    </row>
    <row r="96" spans="2:7" s="2" customFormat="1" ht="30.75" thickBot="1" x14ac:dyDescent="0.3">
      <c r="B96" s="13" t="s">
        <v>76</v>
      </c>
      <c r="C96" s="18" t="s">
        <v>78</v>
      </c>
      <c r="D96" s="46">
        <v>12000</v>
      </c>
      <c r="E96" s="37">
        <v>12000</v>
      </c>
      <c r="F96" s="37">
        <v>10000</v>
      </c>
      <c r="G96" s="37">
        <v>9000</v>
      </c>
    </row>
    <row r="98" spans="2:7" ht="15.75" thickBot="1" x14ac:dyDescent="0.3">
      <c r="B98" s="4" t="s">
        <v>243</v>
      </c>
    </row>
    <row r="99" spans="2:7" s="5" customFormat="1" ht="15.75" customHeight="1" x14ac:dyDescent="0.25">
      <c r="B99" s="7" t="s">
        <v>222</v>
      </c>
      <c r="C99" s="8" t="s">
        <v>223</v>
      </c>
      <c r="D99" s="29" t="s">
        <v>283</v>
      </c>
      <c r="E99" s="29" t="s">
        <v>224</v>
      </c>
      <c r="F99" s="30" t="s">
        <v>257</v>
      </c>
      <c r="G99" s="30" t="s">
        <v>258</v>
      </c>
    </row>
    <row r="100" spans="2:7" ht="30" x14ac:dyDescent="0.25">
      <c r="B100" s="17" t="s">
        <v>57</v>
      </c>
      <c r="C100" s="15" t="s">
        <v>225</v>
      </c>
      <c r="D100" s="45">
        <v>60000</v>
      </c>
      <c r="E100" s="35">
        <v>60000</v>
      </c>
      <c r="F100" s="35">
        <v>55000</v>
      </c>
      <c r="G100" s="35">
        <v>52000</v>
      </c>
    </row>
    <row r="101" spans="2:7" ht="30" x14ac:dyDescent="0.25">
      <c r="B101" s="17" t="s">
        <v>57</v>
      </c>
      <c r="C101" s="15" t="s">
        <v>226</v>
      </c>
      <c r="D101" s="45">
        <v>45000</v>
      </c>
      <c r="E101" s="35">
        <v>45000</v>
      </c>
      <c r="F101" s="35">
        <v>42000</v>
      </c>
      <c r="G101" s="35">
        <v>38000</v>
      </c>
    </row>
    <row r="102" spans="2:7" ht="15.75" thickBot="1" x14ac:dyDescent="0.3">
      <c r="B102" s="10" t="s">
        <v>260</v>
      </c>
      <c r="C102" s="18" t="s">
        <v>259</v>
      </c>
      <c r="D102" s="46">
        <v>42000</v>
      </c>
      <c r="E102" s="31">
        <v>42000</v>
      </c>
      <c r="F102" s="31">
        <v>40000</v>
      </c>
      <c r="G102" s="31">
        <v>38000</v>
      </c>
    </row>
    <row r="104" spans="2:7" ht="15.75" thickBot="1" x14ac:dyDescent="0.3">
      <c r="B104" s="1" t="s">
        <v>83</v>
      </c>
    </row>
    <row r="105" spans="2:7" s="5" customFormat="1" ht="15.75" customHeight="1" x14ac:dyDescent="0.25">
      <c r="B105" s="7" t="s">
        <v>222</v>
      </c>
      <c r="C105" s="8" t="s">
        <v>223</v>
      </c>
      <c r="D105" s="29" t="s">
        <v>283</v>
      </c>
      <c r="E105" s="29" t="s">
        <v>224</v>
      </c>
      <c r="F105" s="30" t="s">
        <v>257</v>
      </c>
      <c r="G105" s="30" t="s">
        <v>258</v>
      </c>
    </row>
    <row r="106" spans="2:7" x14ac:dyDescent="0.25">
      <c r="B106" s="9" t="s">
        <v>210</v>
      </c>
      <c r="C106" s="15" t="s">
        <v>84</v>
      </c>
      <c r="D106" s="45">
        <v>540</v>
      </c>
      <c r="E106" s="28">
        <v>520</v>
      </c>
      <c r="F106" s="28">
        <v>500</v>
      </c>
      <c r="G106" s="28">
        <v>470</v>
      </c>
    </row>
    <row r="107" spans="2:7" x14ac:dyDescent="0.25">
      <c r="B107" s="9" t="s">
        <v>211</v>
      </c>
      <c r="C107" s="15" t="s">
        <v>85</v>
      </c>
      <c r="D107" s="45">
        <v>800</v>
      </c>
      <c r="E107" s="28">
        <v>750</v>
      </c>
      <c r="F107" s="28">
        <v>720</v>
      </c>
      <c r="G107" s="28">
        <v>700</v>
      </c>
    </row>
    <row r="108" spans="2:7" x14ac:dyDescent="0.25">
      <c r="B108" s="9" t="s">
        <v>212</v>
      </c>
      <c r="C108" s="15" t="s">
        <v>86</v>
      </c>
      <c r="D108" s="45">
        <v>1100</v>
      </c>
      <c r="E108" s="28">
        <v>1000</v>
      </c>
      <c r="F108" s="28">
        <v>980</v>
      </c>
      <c r="G108" s="28">
        <v>950</v>
      </c>
    </row>
    <row r="109" spans="2:7" x14ac:dyDescent="0.25">
      <c r="B109" s="9" t="s">
        <v>213</v>
      </c>
      <c r="C109" s="15" t="s">
        <v>87</v>
      </c>
      <c r="D109" s="45">
        <v>40</v>
      </c>
      <c r="E109" s="28">
        <v>38</v>
      </c>
      <c r="F109" s="28">
        <v>35</v>
      </c>
      <c r="G109" s="28">
        <v>32</v>
      </c>
    </row>
    <row r="110" spans="2:7" x14ac:dyDescent="0.25">
      <c r="B110" s="9" t="s">
        <v>214</v>
      </c>
      <c r="C110" s="15" t="s">
        <v>88</v>
      </c>
      <c r="D110" s="45">
        <v>40</v>
      </c>
      <c r="E110" s="28">
        <v>38</v>
      </c>
      <c r="F110" s="28">
        <v>35</v>
      </c>
      <c r="G110" s="28">
        <v>32</v>
      </c>
    </row>
    <row r="111" spans="2:7" x14ac:dyDescent="0.25">
      <c r="B111" s="9" t="s">
        <v>315</v>
      </c>
      <c r="C111" s="15" t="s">
        <v>89</v>
      </c>
      <c r="D111" s="45">
        <v>62</v>
      </c>
      <c r="E111" s="28">
        <v>60</v>
      </c>
      <c r="F111" s="28">
        <v>55</v>
      </c>
      <c r="G111" s="28">
        <v>50</v>
      </c>
    </row>
    <row r="112" spans="2:7" x14ac:dyDescent="0.25">
      <c r="B112" s="9" t="s">
        <v>216</v>
      </c>
      <c r="C112" s="15" t="s">
        <v>314</v>
      </c>
      <c r="D112" s="45"/>
      <c r="E112" s="28">
        <v>250</v>
      </c>
      <c r="F112" s="28">
        <v>200</v>
      </c>
      <c r="G112" s="28"/>
    </row>
    <row r="113" spans="2:7" x14ac:dyDescent="0.25">
      <c r="B113" s="9" t="s">
        <v>215</v>
      </c>
      <c r="C113" s="15" t="s">
        <v>90</v>
      </c>
      <c r="D113" s="45">
        <v>45</v>
      </c>
      <c r="E113" s="28">
        <v>40</v>
      </c>
      <c r="F113" s="28">
        <v>35</v>
      </c>
      <c r="G113" s="28">
        <v>30</v>
      </c>
    </row>
    <row r="114" spans="2:7" x14ac:dyDescent="0.25">
      <c r="B114" s="9" t="s">
        <v>217</v>
      </c>
      <c r="C114" s="15" t="s">
        <v>219</v>
      </c>
      <c r="D114" s="45">
        <v>67</v>
      </c>
      <c r="E114" s="28">
        <v>65</v>
      </c>
      <c r="F114" s="28">
        <v>60</v>
      </c>
      <c r="G114" s="28">
        <v>55</v>
      </c>
    </row>
    <row r="115" spans="2:7" x14ac:dyDescent="0.25">
      <c r="B115" s="9" t="s">
        <v>218</v>
      </c>
      <c r="C115" s="15" t="s">
        <v>91</v>
      </c>
      <c r="D115" s="45">
        <v>17</v>
      </c>
      <c r="E115" s="28">
        <v>15</v>
      </c>
      <c r="F115" s="28">
        <v>13</v>
      </c>
      <c r="G115" s="28">
        <v>12</v>
      </c>
    </row>
    <row r="116" spans="2:7" x14ac:dyDescent="0.25">
      <c r="B116" s="19" t="s">
        <v>229</v>
      </c>
      <c r="C116" s="15" t="s">
        <v>227</v>
      </c>
      <c r="D116" s="45">
        <v>6</v>
      </c>
      <c r="E116" s="28">
        <v>5</v>
      </c>
      <c r="F116" s="28">
        <v>4</v>
      </c>
      <c r="G116" s="28">
        <v>3.8</v>
      </c>
    </row>
    <row r="117" spans="2:7" x14ac:dyDescent="0.25">
      <c r="B117" s="19" t="s">
        <v>230</v>
      </c>
      <c r="C117" s="15" t="s">
        <v>228</v>
      </c>
      <c r="D117" s="45">
        <v>5</v>
      </c>
      <c r="E117" s="28">
        <v>4</v>
      </c>
      <c r="F117" s="28">
        <v>3.5</v>
      </c>
      <c r="G117" s="28">
        <v>3.2</v>
      </c>
    </row>
    <row r="118" spans="2:7" x14ac:dyDescent="0.25">
      <c r="B118" s="9" t="s">
        <v>220</v>
      </c>
      <c r="C118" s="15" t="s">
        <v>92</v>
      </c>
      <c r="D118" s="45">
        <v>62</v>
      </c>
      <c r="E118" s="28">
        <v>60</v>
      </c>
      <c r="F118" s="28">
        <v>58</v>
      </c>
      <c r="G118" s="28">
        <v>56</v>
      </c>
    </row>
    <row r="119" spans="2:7" ht="15.75" thickBot="1" x14ac:dyDescent="0.3">
      <c r="B119" s="10" t="s">
        <v>221</v>
      </c>
      <c r="C119" s="18" t="s">
        <v>93</v>
      </c>
      <c r="D119" s="46">
        <v>67</v>
      </c>
      <c r="E119" s="31">
        <v>65</v>
      </c>
      <c r="F119" s="31">
        <v>62</v>
      </c>
      <c r="G119" s="31">
        <v>60</v>
      </c>
    </row>
    <row r="125" spans="2:7" ht="15.75" thickBot="1" x14ac:dyDescent="0.3">
      <c r="B125" s="1" t="s">
        <v>94</v>
      </c>
    </row>
    <row r="126" spans="2:7" s="5" customFormat="1" ht="15.75" customHeight="1" x14ac:dyDescent="0.25">
      <c r="B126" s="7" t="s">
        <v>222</v>
      </c>
      <c r="C126" s="8" t="s">
        <v>223</v>
      </c>
      <c r="D126" s="29" t="s">
        <v>283</v>
      </c>
      <c r="E126" s="29" t="s">
        <v>224</v>
      </c>
      <c r="F126" s="30" t="s">
        <v>257</v>
      </c>
      <c r="G126" s="30" t="s">
        <v>258</v>
      </c>
    </row>
    <row r="127" spans="2:7" x14ac:dyDescent="0.25">
      <c r="B127" s="9" t="s">
        <v>205</v>
      </c>
      <c r="C127" s="15" t="s">
        <v>95</v>
      </c>
      <c r="D127" s="45">
        <v>4200</v>
      </c>
      <c r="E127" s="28">
        <v>4000</v>
      </c>
      <c r="F127" s="28">
        <v>3950</v>
      </c>
      <c r="G127" s="28">
        <v>3900</v>
      </c>
    </row>
    <row r="128" spans="2:7" x14ac:dyDescent="0.25">
      <c r="B128" s="9" t="s">
        <v>203</v>
      </c>
      <c r="C128" s="15" t="s">
        <v>262</v>
      </c>
      <c r="D128" s="47">
        <v>65</v>
      </c>
      <c r="E128" s="28" t="s">
        <v>261</v>
      </c>
      <c r="F128" s="28">
        <v>58</v>
      </c>
      <c r="G128" s="28">
        <v>57</v>
      </c>
    </row>
    <row r="129" spans="2:7" x14ac:dyDescent="0.25">
      <c r="B129" s="9"/>
      <c r="C129" s="15"/>
      <c r="D129" s="47">
        <v>6000</v>
      </c>
      <c r="E129" s="38" t="s">
        <v>263</v>
      </c>
      <c r="F129" s="38" t="s">
        <v>264</v>
      </c>
      <c r="G129" s="38" t="s">
        <v>265</v>
      </c>
    </row>
    <row r="130" spans="2:7" x14ac:dyDescent="0.25">
      <c r="B130" s="9" t="s">
        <v>206</v>
      </c>
      <c r="C130" s="15" t="s">
        <v>96</v>
      </c>
      <c r="D130" s="47" t="s">
        <v>285</v>
      </c>
      <c r="E130" s="28" t="s">
        <v>231</v>
      </c>
      <c r="F130" s="28" t="s">
        <v>266</v>
      </c>
      <c r="G130" s="28" t="s">
        <v>267</v>
      </c>
    </row>
    <row r="131" spans="2:7" x14ac:dyDescent="0.25">
      <c r="B131" s="9"/>
      <c r="C131" s="15"/>
      <c r="D131" s="47"/>
      <c r="E131" s="38" t="s">
        <v>232</v>
      </c>
      <c r="F131" s="38" t="s">
        <v>269</v>
      </c>
      <c r="G131" s="38" t="s">
        <v>268</v>
      </c>
    </row>
    <row r="132" spans="2:7" x14ac:dyDescent="0.25">
      <c r="B132" s="9" t="s">
        <v>207</v>
      </c>
      <c r="C132" s="50" t="s">
        <v>97</v>
      </c>
      <c r="D132" s="48" t="s">
        <v>284</v>
      </c>
      <c r="E132" s="28" t="s">
        <v>233</v>
      </c>
      <c r="F132" s="28" t="s">
        <v>270</v>
      </c>
      <c r="G132" s="28" t="s">
        <v>271</v>
      </c>
    </row>
    <row r="133" spans="2:7" x14ac:dyDescent="0.25">
      <c r="B133" s="9"/>
      <c r="C133" s="50"/>
      <c r="D133" s="48"/>
      <c r="E133" s="28" t="s">
        <v>298</v>
      </c>
      <c r="F133" s="28" t="s">
        <v>299</v>
      </c>
      <c r="G133" s="28" t="s">
        <v>300</v>
      </c>
    </row>
    <row r="134" spans="2:7" x14ac:dyDescent="0.25">
      <c r="B134" s="9" t="s">
        <v>208</v>
      </c>
      <c r="C134" s="50" t="s">
        <v>98</v>
      </c>
      <c r="D134" s="48" t="s">
        <v>286</v>
      </c>
      <c r="E134" s="28" t="s">
        <v>234</v>
      </c>
      <c r="F134" s="28" t="s">
        <v>272</v>
      </c>
      <c r="G134" s="28" t="s">
        <v>273</v>
      </c>
    </row>
    <row r="135" spans="2:7" x14ac:dyDescent="0.25">
      <c r="B135" s="9"/>
      <c r="C135" s="50"/>
      <c r="D135" s="48"/>
      <c r="E135" s="28" t="s">
        <v>301</v>
      </c>
      <c r="F135" s="28" t="s">
        <v>302</v>
      </c>
      <c r="G135" s="28" t="s">
        <v>303</v>
      </c>
    </row>
    <row r="136" spans="2:7" x14ac:dyDescent="0.25">
      <c r="B136" s="9" t="s">
        <v>209</v>
      </c>
      <c r="C136" s="50" t="s">
        <v>99</v>
      </c>
      <c r="D136" s="48" t="s">
        <v>287</v>
      </c>
      <c r="E136" s="28" t="s">
        <v>235</v>
      </c>
      <c r="F136" s="28" t="s">
        <v>274</v>
      </c>
      <c r="G136" s="28" t="s">
        <v>275</v>
      </c>
    </row>
    <row r="137" spans="2:7" x14ac:dyDescent="0.25">
      <c r="B137" s="9"/>
      <c r="C137" s="50"/>
      <c r="D137" s="48"/>
      <c r="E137" s="28" t="s">
        <v>292</v>
      </c>
      <c r="F137" s="28" t="s">
        <v>293</v>
      </c>
      <c r="G137" s="28" t="s">
        <v>294</v>
      </c>
    </row>
    <row r="138" spans="2:7" x14ac:dyDescent="0.25">
      <c r="B138" s="9" t="s">
        <v>193</v>
      </c>
      <c r="C138" s="50" t="s">
        <v>100</v>
      </c>
      <c r="D138" s="48" t="s">
        <v>288</v>
      </c>
      <c r="E138" s="28" t="s">
        <v>236</v>
      </c>
      <c r="F138" s="28" t="s">
        <v>276</v>
      </c>
      <c r="G138" s="28" t="s">
        <v>277</v>
      </c>
    </row>
    <row r="139" spans="2:7" x14ac:dyDescent="0.25">
      <c r="B139" s="9"/>
      <c r="C139" s="50"/>
      <c r="D139" s="48"/>
      <c r="E139" s="28" t="s">
        <v>295</v>
      </c>
      <c r="F139" s="28" t="s">
        <v>296</v>
      </c>
      <c r="G139" s="28" t="s">
        <v>297</v>
      </c>
    </row>
    <row r="140" spans="2:7" x14ac:dyDescent="0.25">
      <c r="B140" s="19" t="s">
        <v>200</v>
      </c>
      <c r="C140" s="6" t="s">
        <v>101</v>
      </c>
      <c r="D140" s="28" t="s">
        <v>289</v>
      </c>
      <c r="E140" s="28" t="s">
        <v>237</v>
      </c>
      <c r="F140" s="28" t="s">
        <v>278</v>
      </c>
      <c r="G140" s="28" t="s">
        <v>279</v>
      </c>
    </row>
    <row r="141" spans="2:7" x14ac:dyDescent="0.25">
      <c r="B141" s="19" t="s">
        <v>167</v>
      </c>
      <c r="C141" s="6" t="s">
        <v>102</v>
      </c>
      <c r="D141" s="28" t="s">
        <v>290</v>
      </c>
      <c r="E141" s="28" t="s">
        <v>238</v>
      </c>
      <c r="F141" s="28" t="s">
        <v>280</v>
      </c>
      <c r="G141" s="28" t="s">
        <v>281</v>
      </c>
    </row>
    <row r="142" spans="2:7" x14ac:dyDescent="0.25">
      <c r="B142" s="19" t="s">
        <v>166</v>
      </c>
      <c r="C142" s="6" t="s">
        <v>103</v>
      </c>
      <c r="D142" s="28" t="s">
        <v>290</v>
      </c>
      <c r="E142" s="28" t="s">
        <v>238</v>
      </c>
      <c r="F142" s="28" t="s">
        <v>280</v>
      </c>
      <c r="G142" s="28" t="s">
        <v>281</v>
      </c>
    </row>
    <row r="143" spans="2:7" x14ac:dyDescent="0.25">
      <c r="B143" s="19" t="s">
        <v>168</v>
      </c>
      <c r="C143" s="6" t="s">
        <v>104</v>
      </c>
      <c r="D143" s="28" t="s">
        <v>291</v>
      </c>
      <c r="E143" s="28" t="s">
        <v>240</v>
      </c>
      <c r="F143" s="28" t="s">
        <v>239</v>
      </c>
      <c r="G143" s="28" t="s">
        <v>238</v>
      </c>
    </row>
    <row r="144" spans="2:7" x14ac:dyDescent="0.25">
      <c r="B144" s="19" t="s">
        <v>201</v>
      </c>
      <c r="C144" s="6" t="s">
        <v>105</v>
      </c>
      <c r="D144" s="28">
        <v>25</v>
      </c>
      <c r="E144" s="28">
        <v>20</v>
      </c>
      <c r="F144" s="28">
        <v>18</v>
      </c>
      <c r="G144" s="28">
        <v>16</v>
      </c>
    </row>
    <row r="145" spans="2:7" x14ac:dyDescent="0.25">
      <c r="B145" s="19" t="s">
        <v>202</v>
      </c>
      <c r="C145" s="6" t="s">
        <v>106</v>
      </c>
      <c r="D145" s="28">
        <v>25</v>
      </c>
      <c r="E145" s="28">
        <v>20</v>
      </c>
      <c r="F145" s="28">
        <v>18</v>
      </c>
      <c r="G145" s="28">
        <v>16</v>
      </c>
    </row>
    <row r="146" spans="2:7" x14ac:dyDescent="0.25">
      <c r="B146" s="19" t="s">
        <v>203</v>
      </c>
      <c r="C146" s="6" t="s">
        <v>107</v>
      </c>
      <c r="D146" s="28">
        <v>35</v>
      </c>
      <c r="E146" s="28">
        <v>30</v>
      </c>
      <c r="F146" s="28">
        <v>28</v>
      </c>
      <c r="G146" s="28">
        <v>27</v>
      </c>
    </row>
    <row r="147" spans="2:7" ht="15.75" thickBot="1" x14ac:dyDescent="0.3">
      <c r="B147" s="20" t="s">
        <v>204</v>
      </c>
      <c r="C147" s="11" t="s">
        <v>108</v>
      </c>
      <c r="D147" s="31">
        <v>55</v>
      </c>
      <c r="E147" s="31">
        <v>50</v>
      </c>
      <c r="F147" s="31">
        <v>48</v>
      </c>
      <c r="G147" s="31">
        <v>47</v>
      </c>
    </row>
    <row r="149" spans="2:7" ht="15.75" thickBot="1" x14ac:dyDescent="0.3">
      <c r="B149" s="1" t="s">
        <v>109</v>
      </c>
    </row>
    <row r="150" spans="2:7" s="5" customFormat="1" ht="15.75" customHeight="1" x14ac:dyDescent="0.25">
      <c r="B150" s="7" t="s">
        <v>222</v>
      </c>
      <c r="C150" s="8" t="s">
        <v>223</v>
      </c>
      <c r="D150" s="29" t="s">
        <v>283</v>
      </c>
      <c r="E150" s="29" t="s">
        <v>224</v>
      </c>
      <c r="F150" s="30" t="s">
        <v>257</v>
      </c>
      <c r="G150" s="30" t="s">
        <v>258</v>
      </c>
    </row>
    <row r="151" spans="2:7" x14ac:dyDescent="0.25">
      <c r="B151" s="9" t="s">
        <v>192</v>
      </c>
      <c r="C151" s="6" t="s">
        <v>110</v>
      </c>
      <c r="D151" s="28">
        <v>2000</v>
      </c>
      <c r="E151" s="28">
        <v>1800</v>
      </c>
      <c r="F151" s="28">
        <v>1750</v>
      </c>
      <c r="G151" s="28">
        <v>1650</v>
      </c>
    </row>
    <row r="152" spans="2:7" x14ac:dyDescent="0.25">
      <c r="B152" s="9" t="s">
        <v>193</v>
      </c>
      <c r="C152" s="6" t="s">
        <v>111</v>
      </c>
      <c r="D152" s="28">
        <v>2500</v>
      </c>
      <c r="E152" s="28">
        <v>2400</v>
      </c>
      <c r="F152" s="28">
        <v>2300</v>
      </c>
      <c r="G152" s="28">
        <v>2250</v>
      </c>
    </row>
    <row r="153" spans="2:7" x14ac:dyDescent="0.25">
      <c r="B153" s="9" t="s">
        <v>194</v>
      </c>
      <c r="C153" s="6" t="s">
        <v>112</v>
      </c>
      <c r="D153" s="28">
        <v>600</v>
      </c>
      <c r="E153" s="28">
        <v>550</v>
      </c>
      <c r="F153" s="28">
        <v>520</v>
      </c>
      <c r="G153" s="28">
        <v>550</v>
      </c>
    </row>
    <row r="154" spans="2:7" x14ac:dyDescent="0.25">
      <c r="B154" s="9" t="s">
        <v>195</v>
      </c>
      <c r="C154" s="6" t="s">
        <v>113</v>
      </c>
      <c r="D154" s="28">
        <v>800</v>
      </c>
      <c r="E154" s="28">
        <v>750</v>
      </c>
      <c r="F154" s="28">
        <v>720</v>
      </c>
      <c r="G154" s="28">
        <v>700</v>
      </c>
    </row>
    <row r="155" spans="2:7" x14ac:dyDescent="0.25">
      <c r="B155" s="9" t="s">
        <v>196</v>
      </c>
      <c r="C155" s="6" t="s">
        <v>114</v>
      </c>
      <c r="D155" s="28">
        <v>1300</v>
      </c>
      <c r="E155" s="28">
        <v>1200</v>
      </c>
      <c r="F155" s="28">
        <v>1150</v>
      </c>
      <c r="G155" s="28">
        <v>1100</v>
      </c>
    </row>
    <row r="156" spans="2:7" x14ac:dyDescent="0.25">
      <c r="B156" s="9" t="s">
        <v>197</v>
      </c>
      <c r="C156" s="6" t="s">
        <v>115</v>
      </c>
      <c r="D156" s="28">
        <v>1600</v>
      </c>
      <c r="E156" s="28">
        <v>1500</v>
      </c>
      <c r="F156" s="28">
        <v>1450</v>
      </c>
      <c r="G156" s="28">
        <v>1420</v>
      </c>
    </row>
    <row r="157" spans="2:7" x14ac:dyDescent="0.25">
      <c r="B157" s="9" t="s">
        <v>198</v>
      </c>
      <c r="C157" s="6" t="s">
        <v>116</v>
      </c>
      <c r="D157" s="28">
        <v>2200</v>
      </c>
      <c r="E157" s="28">
        <v>2000</v>
      </c>
      <c r="F157" s="28">
        <v>1900</v>
      </c>
      <c r="G157" s="28">
        <v>1870</v>
      </c>
    </row>
    <row r="158" spans="2:7" ht="15.75" thickBot="1" x14ac:dyDescent="0.3">
      <c r="B158" s="10" t="s">
        <v>199</v>
      </c>
      <c r="C158" s="11" t="s">
        <v>117</v>
      </c>
      <c r="D158" s="31">
        <v>2700</v>
      </c>
      <c r="E158" s="31">
        <v>2500</v>
      </c>
      <c r="F158" s="31">
        <v>2450</v>
      </c>
      <c r="G158" s="31">
        <v>2400</v>
      </c>
    </row>
    <row r="168" spans="2:7" ht="15.75" thickBot="1" x14ac:dyDescent="0.3">
      <c r="B168" s="1" t="s">
        <v>118</v>
      </c>
    </row>
    <row r="169" spans="2:7" s="5" customFormat="1" ht="15.75" customHeight="1" x14ac:dyDescent="0.25">
      <c r="B169" s="7" t="s">
        <v>222</v>
      </c>
      <c r="C169" s="8" t="s">
        <v>223</v>
      </c>
      <c r="D169" s="29" t="s">
        <v>283</v>
      </c>
      <c r="E169" s="29" t="s">
        <v>224</v>
      </c>
      <c r="F169" s="30" t="s">
        <v>257</v>
      </c>
      <c r="G169" s="30" t="s">
        <v>258</v>
      </c>
    </row>
    <row r="170" spans="2:7" x14ac:dyDescent="0.25">
      <c r="B170" s="9" t="s">
        <v>170</v>
      </c>
      <c r="C170" s="6" t="s">
        <v>119</v>
      </c>
      <c r="D170" s="28">
        <v>450</v>
      </c>
      <c r="E170" s="28">
        <v>430</v>
      </c>
      <c r="F170" s="28">
        <v>420</v>
      </c>
      <c r="G170" s="28">
        <v>400</v>
      </c>
    </row>
    <row r="171" spans="2:7" x14ac:dyDescent="0.25">
      <c r="B171" s="9" t="s">
        <v>171</v>
      </c>
      <c r="C171" s="6" t="s">
        <v>120</v>
      </c>
      <c r="D171" s="28">
        <v>450</v>
      </c>
      <c r="E171" s="28">
        <v>430</v>
      </c>
      <c r="F171" s="28">
        <v>420</v>
      </c>
      <c r="G171" s="28">
        <v>400</v>
      </c>
    </row>
    <row r="172" spans="2:7" x14ac:dyDescent="0.25">
      <c r="B172" s="9" t="s">
        <v>172</v>
      </c>
      <c r="C172" s="6" t="s">
        <v>121</v>
      </c>
      <c r="D172" s="28">
        <v>450</v>
      </c>
      <c r="E172" s="28">
        <v>430</v>
      </c>
      <c r="F172" s="28">
        <v>420</v>
      </c>
      <c r="G172" s="28">
        <v>400</v>
      </c>
    </row>
    <row r="173" spans="2:7" x14ac:dyDescent="0.25">
      <c r="B173" s="9" t="s">
        <v>173</v>
      </c>
      <c r="C173" s="6" t="s">
        <v>122</v>
      </c>
      <c r="D173" s="28">
        <v>450</v>
      </c>
      <c r="E173" s="28">
        <v>430</v>
      </c>
      <c r="F173" s="28">
        <v>420</v>
      </c>
      <c r="G173" s="28">
        <v>400</v>
      </c>
    </row>
    <row r="174" spans="2:7" x14ac:dyDescent="0.25">
      <c r="B174" s="9" t="s">
        <v>174</v>
      </c>
      <c r="C174" s="6" t="s">
        <v>123</v>
      </c>
      <c r="D174" s="28">
        <v>450</v>
      </c>
      <c r="E174" s="28">
        <v>430</v>
      </c>
      <c r="F174" s="28">
        <v>420</v>
      </c>
      <c r="G174" s="28">
        <v>400</v>
      </c>
    </row>
    <row r="175" spans="2:7" x14ac:dyDescent="0.25">
      <c r="B175" s="9" t="s">
        <v>175</v>
      </c>
      <c r="C175" s="6" t="s">
        <v>124</v>
      </c>
      <c r="D175" s="28">
        <v>450</v>
      </c>
      <c r="E175" s="28">
        <v>430</v>
      </c>
      <c r="F175" s="28">
        <v>420</v>
      </c>
      <c r="G175" s="28">
        <v>400</v>
      </c>
    </row>
    <row r="176" spans="2:7" x14ac:dyDescent="0.25">
      <c r="B176" s="19" t="s">
        <v>176</v>
      </c>
      <c r="C176" s="6" t="s">
        <v>125</v>
      </c>
      <c r="D176" s="28">
        <v>450</v>
      </c>
      <c r="E176" s="28">
        <v>800</v>
      </c>
      <c r="F176" s="28">
        <v>780</v>
      </c>
      <c r="G176" s="28">
        <v>750</v>
      </c>
    </row>
    <row r="177" spans="2:7" x14ac:dyDescent="0.25">
      <c r="B177" s="19" t="s">
        <v>177</v>
      </c>
      <c r="C177" s="6" t="s">
        <v>129</v>
      </c>
      <c r="D177" s="28">
        <v>820</v>
      </c>
      <c r="E177" s="28">
        <v>810</v>
      </c>
      <c r="F177" s="28">
        <v>790</v>
      </c>
      <c r="G177" s="28">
        <v>780</v>
      </c>
    </row>
    <row r="178" spans="2:7" x14ac:dyDescent="0.25">
      <c r="B178" s="19" t="s">
        <v>178</v>
      </c>
      <c r="C178" s="6" t="s">
        <v>130</v>
      </c>
      <c r="D178" s="28">
        <v>1000</v>
      </c>
      <c r="E178" s="28">
        <v>980</v>
      </c>
      <c r="F178" s="28">
        <v>970</v>
      </c>
      <c r="G178" s="28">
        <v>950</v>
      </c>
    </row>
    <row r="179" spans="2:7" x14ac:dyDescent="0.25">
      <c r="B179" s="19" t="s">
        <v>179</v>
      </c>
      <c r="C179" s="6" t="s">
        <v>131</v>
      </c>
      <c r="D179" s="28">
        <v>2650</v>
      </c>
      <c r="E179" s="28">
        <v>2500</v>
      </c>
      <c r="F179" s="28">
        <v>2400</v>
      </c>
      <c r="G179" s="28">
        <v>2300</v>
      </c>
    </row>
    <row r="180" spans="2:7" x14ac:dyDescent="0.25">
      <c r="B180" s="19" t="s">
        <v>180</v>
      </c>
      <c r="C180" s="6" t="s">
        <v>132</v>
      </c>
      <c r="D180" s="28">
        <v>2650</v>
      </c>
      <c r="E180" s="28">
        <v>2500</v>
      </c>
      <c r="F180" s="28">
        <v>2400</v>
      </c>
      <c r="G180" s="28">
        <v>2300</v>
      </c>
    </row>
    <row r="181" spans="2:7" x14ac:dyDescent="0.25">
      <c r="B181" s="19" t="s">
        <v>181</v>
      </c>
      <c r="C181" s="6" t="s">
        <v>133</v>
      </c>
      <c r="D181" s="28">
        <v>2650</v>
      </c>
      <c r="E181" s="28">
        <v>2500</v>
      </c>
      <c r="F181" s="28">
        <v>2400</v>
      </c>
      <c r="G181" s="28">
        <v>2300</v>
      </c>
    </row>
    <row r="182" spans="2:7" x14ac:dyDescent="0.25">
      <c r="B182" s="19" t="s">
        <v>182</v>
      </c>
      <c r="C182" s="6" t="s">
        <v>134</v>
      </c>
      <c r="D182" s="28">
        <v>2650</v>
      </c>
      <c r="E182" s="28">
        <v>2500</v>
      </c>
      <c r="F182" s="28">
        <v>2400</v>
      </c>
      <c r="G182" s="28">
        <v>2300</v>
      </c>
    </row>
    <row r="183" spans="2:7" x14ac:dyDescent="0.25">
      <c r="B183" s="19" t="s">
        <v>183</v>
      </c>
      <c r="C183" s="6" t="s">
        <v>126</v>
      </c>
      <c r="D183" s="28">
        <v>250</v>
      </c>
      <c r="E183" s="28">
        <v>240</v>
      </c>
      <c r="F183" s="28">
        <v>220</v>
      </c>
      <c r="G183" s="28">
        <v>200</v>
      </c>
    </row>
    <row r="184" spans="2:7" x14ac:dyDescent="0.25">
      <c r="B184" s="19" t="s">
        <v>184</v>
      </c>
      <c r="C184" s="6" t="s">
        <v>127</v>
      </c>
      <c r="D184" s="28">
        <v>600</v>
      </c>
      <c r="E184" s="28">
        <v>550</v>
      </c>
      <c r="F184" s="28">
        <v>520</v>
      </c>
      <c r="G184" s="28">
        <v>550</v>
      </c>
    </row>
    <row r="185" spans="2:7" x14ac:dyDescent="0.25">
      <c r="B185" s="19" t="s">
        <v>185</v>
      </c>
      <c r="C185" s="6" t="s">
        <v>128</v>
      </c>
      <c r="D185" s="28">
        <v>300</v>
      </c>
      <c r="E185" s="28">
        <v>240</v>
      </c>
      <c r="F185" s="28">
        <v>220</v>
      </c>
      <c r="G185" s="28">
        <v>200</v>
      </c>
    </row>
    <row r="186" spans="2:7" x14ac:dyDescent="0.25">
      <c r="B186" s="19" t="s">
        <v>186</v>
      </c>
      <c r="C186" s="6" t="s">
        <v>135</v>
      </c>
      <c r="D186" s="28">
        <v>600</v>
      </c>
      <c r="E186" s="28">
        <v>590</v>
      </c>
      <c r="F186" s="28">
        <v>570</v>
      </c>
      <c r="G186" s="28">
        <v>560</v>
      </c>
    </row>
    <row r="187" spans="2:7" x14ac:dyDescent="0.25">
      <c r="B187" s="19" t="s">
        <v>187</v>
      </c>
      <c r="C187" s="6" t="s">
        <v>136</v>
      </c>
      <c r="D187" s="28">
        <v>600</v>
      </c>
      <c r="E187" s="28">
        <v>590</v>
      </c>
      <c r="F187" s="28">
        <v>570</v>
      </c>
      <c r="G187" s="28">
        <v>560</v>
      </c>
    </row>
    <row r="188" spans="2:7" x14ac:dyDescent="0.25">
      <c r="B188" s="19" t="s">
        <v>188</v>
      </c>
      <c r="C188" s="6" t="s">
        <v>137</v>
      </c>
      <c r="D188" s="28">
        <v>2000</v>
      </c>
      <c r="E188" s="28">
        <v>1900</v>
      </c>
      <c r="F188" s="28">
        <v>1700</v>
      </c>
      <c r="G188" s="28">
        <v>1600</v>
      </c>
    </row>
    <row r="189" spans="2:7" x14ac:dyDescent="0.25">
      <c r="B189" s="19" t="s">
        <v>189</v>
      </c>
      <c r="C189" s="6" t="s">
        <v>138</v>
      </c>
      <c r="D189" s="28">
        <v>2000</v>
      </c>
      <c r="E189" s="28">
        <v>1900</v>
      </c>
      <c r="F189" s="28">
        <v>1700</v>
      </c>
      <c r="G189" s="28">
        <v>1600</v>
      </c>
    </row>
    <row r="190" spans="2:7" x14ac:dyDescent="0.25">
      <c r="B190" s="19" t="s">
        <v>169</v>
      </c>
      <c r="C190" s="6" t="s">
        <v>139</v>
      </c>
      <c r="D190" s="28">
        <v>2500</v>
      </c>
      <c r="E190" s="28">
        <v>2400</v>
      </c>
      <c r="F190" s="28">
        <v>2200</v>
      </c>
      <c r="G190" s="28">
        <v>2000</v>
      </c>
    </row>
    <row r="191" spans="2:7" ht="15.75" thickBot="1" x14ac:dyDescent="0.3">
      <c r="B191" s="20" t="s">
        <v>190</v>
      </c>
      <c r="C191" s="11" t="s">
        <v>140</v>
      </c>
      <c r="D191" s="31">
        <v>2600</v>
      </c>
      <c r="E191" s="31">
        <v>2500</v>
      </c>
      <c r="F191" s="31">
        <v>2300</v>
      </c>
      <c r="G191" s="31">
        <v>2100</v>
      </c>
    </row>
    <row r="193" spans="2:7" ht="15.75" thickBot="1" x14ac:dyDescent="0.3">
      <c r="B193" s="1" t="s">
        <v>164</v>
      </c>
    </row>
    <row r="194" spans="2:7" s="5" customFormat="1" ht="15.75" customHeight="1" x14ac:dyDescent="0.25">
      <c r="B194" s="7" t="s">
        <v>222</v>
      </c>
      <c r="C194" s="8" t="s">
        <v>223</v>
      </c>
      <c r="D194" s="29" t="s">
        <v>283</v>
      </c>
      <c r="E194" s="29" t="s">
        <v>224</v>
      </c>
      <c r="F194" s="30" t="s">
        <v>257</v>
      </c>
      <c r="G194" s="30" t="s">
        <v>258</v>
      </c>
    </row>
    <row r="195" spans="2:7" x14ac:dyDescent="0.25">
      <c r="B195" s="9" t="s">
        <v>166</v>
      </c>
      <c r="C195" s="12" t="s">
        <v>165</v>
      </c>
      <c r="D195" s="49">
        <v>40000</v>
      </c>
      <c r="E195" s="28">
        <v>39000</v>
      </c>
      <c r="F195" s="28">
        <v>38000</v>
      </c>
      <c r="G195" s="28">
        <v>37000</v>
      </c>
    </row>
    <row r="196" spans="2:7" x14ac:dyDescent="0.25">
      <c r="B196" s="9" t="s">
        <v>167</v>
      </c>
      <c r="C196" s="12" t="s">
        <v>241</v>
      </c>
      <c r="D196" s="49">
        <v>200</v>
      </c>
      <c r="E196" s="28">
        <v>180</v>
      </c>
      <c r="F196" s="28">
        <v>150</v>
      </c>
      <c r="G196" s="28">
        <v>130</v>
      </c>
    </row>
    <row r="197" spans="2:7" ht="15.75" thickBot="1" x14ac:dyDescent="0.3">
      <c r="B197" s="10" t="s">
        <v>191</v>
      </c>
      <c r="C197" s="14" t="s">
        <v>242</v>
      </c>
      <c r="D197" s="43">
        <v>450</v>
      </c>
      <c r="E197" s="31">
        <v>400</v>
      </c>
      <c r="F197" s="31">
        <v>370</v>
      </c>
      <c r="G197" s="31">
        <v>350</v>
      </c>
    </row>
    <row r="209" spans="2:7" x14ac:dyDescent="0.25">
      <c r="B209" s="1" t="s">
        <v>141</v>
      </c>
    </row>
    <row r="210" spans="2:7" ht="15.75" thickBot="1" x14ac:dyDescent="0.3">
      <c r="B210" t="s">
        <v>163</v>
      </c>
    </row>
    <row r="211" spans="2:7" s="5" customFormat="1" ht="15.75" customHeight="1" x14ac:dyDescent="0.25">
      <c r="B211" s="7" t="s">
        <v>222</v>
      </c>
      <c r="C211" s="8" t="s">
        <v>223</v>
      </c>
      <c r="D211" s="29" t="s">
        <v>283</v>
      </c>
      <c r="E211" s="29" t="s">
        <v>224</v>
      </c>
      <c r="F211" s="30" t="s">
        <v>257</v>
      </c>
      <c r="G211" s="30" t="s">
        <v>258</v>
      </c>
    </row>
    <row r="212" spans="2:7" ht="28.5" customHeight="1" x14ac:dyDescent="0.25">
      <c r="B212" s="53"/>
      <c r="C212" s="12" t="s">
        <v>146</v>
      </c>
      <c r="D212" s="54">
        <v>1750</v>
      </c>
      <c r="E212" s="54">
        <v>1600</v>
      </c>
      <c r="F212" s="51">
        <v>1550</v>
      </c>
      <c r="G212" s="51">
        <v>1500</v>
      </c>
    </row>
    <row r="213" spans="2:7" ht="30" x14ac:dyDescent="0.25">
      <c r="B213" s="53"/>
      <c r="C213" s="12" t="s">
        <v>142</v>
      </c>
      <c r="D213" s="54"/>
      <c r="E213" s="54"/>
      <c r="F213" s="52"/>
      <c r="G213" s="52"/>
    </row>
    <row r="214" spans="2:7" ht="30" x14ac:dyDescent="0.25">
      <c r="B214" s="53"/>
      <c r="C214" s="12" t="s">
        <v>145</v>
      </c>
      <c r="D214" s="54">
        <v>2200</v>
      </c>
      <c r="E214" s="54">
        <v>2000</v>
      </c>
      <c r="F214" s="51">
        <v>1900</v>
      </c>
      <c r="G214" s="51">
        <v>1800</v>
      </c>
    </row>
    <row r="215" spans="2:7" ht="30" x14ac:dyDescent="0.25">
      <c r="B215" s="53"/>
      <c r="C215" s="12" t="s">
        <v>143</v>
      </c>
      <c r="D215" s="54"/>
      <c r="E215" s="54"/>
      <c r="F215" s="52"/>
      <c r="G215" s="52"/>
    </row>
    <row r="216" spans="2:7" ht="30" x14ac:dyDescent="0.25">
      <c r="B216" s="53"/>
      <c r="C216" s="12" t="s">
        <v>147</v>
      </c>
      <c r="D216" s="54">
        <v>2300</v>
      </c>
      <c r="E216" s="54">
        <v>2200</v>
      </c>
      <c r="F216" s="51">
        <v>2100</v>
      </c>
      <c r="G216" s="51">
        <v>2000</v>
      </c>
    </row>
    <row r="217" spans="2:7" ht="30" x14ac:dyDescent="0.25">
      <c r="B217" s="53"/>
      <c r="C217" s="12" t="s">
        <v>144</v>
      </c>
      <c r="D217" s="54"/>
      <c r="E217" s="54"/>
      <c r="F217" s="52"/>
      <c r="G217" s="52"/>
    </row>
    <row r="218" spans="2:7" ht="30" x14ac:dyDescent="0.25">
      <c r="B218" s="53"/>
      <c r="C218" s="12" t="s">
        <v>148</v>
      </c>
      <c r="D218" s="54">
        <v>4700</v>
      </c>
      <c r="E218" s="54">
        <v>4500</v>
      </c>
      <c r="F218" s="51">
        <v>4450</v>
      </c>
      <c r="G218" s="51">
        <v>4400</v>
      </c>
    </row>
    <row r="219" spans="2:7" ht="30" x14ac:dyDescent="0.25">
      <c r="B219" s="53"/>
      <c r="C219" s="12" t="s">
        <v>149</v>
      </c>
      <c r="D219" s="54"/>
      <c r="E219" s="54"/>
      <c r="F219" s="52"/>
      <c r="G219" s="52"/>
    </row>
    <row r="220" spans="2:7" ht="30" x14ac:dyDescent="0.25">
      <c r="B220" s="53"/>
      <c r="C220" s="12" t="s">
        <v>152</v>
      </c>
      <c r="D220" s="54">
        <v>1300</v>
      </c>
      <c r="E220" s="54">
        <v>1200</v>
      </c>
      <c r="F220" s="51">
        <v>1150</v>
      </c>
      <c r="G220" s="51">
        <v>1100</v>
      </c>
    </row>
    <row r="221" spans="2:7" ht="15" customHeight="1" x14ac:dyDescent="0.25">
      <c r="B221" s="53"/>
      <c r="C221" s="12" t="s">
        <v>150</v>
      </c>
      <c r="D221" s="54"/>
      <c r="E221" s="54"/>
      <c r="F221" s="52"/>
      <c r="G221" s="52"/>
    </row>
    <row r="222" spans="2:7" ht="30" x14ac:dyDescent="0.25">
      <c r="B222" s="53"/>
      <c r="C222" s="12" t="s">
        <v>153</v>
      </c>
      <c r="D222" s="54">
        <v>1800</v>
      </c>
      <c r="E222" s="54">
        <v>1700</v>
      </c>
      <c r="F222" s="51">
        <v>1650</v>
      </c>
      <c r="G222" s="51">
        <v>1600</v>
      </c>
    </row>
    <row r="223" spans="2:7" ht="15" customHeight="1" x14ac:dyDescent="0.25">
      <c r="B223" s="53"/>
      <c r="C223" s="12" t="s">
        <v>151</v>
      </c>
      <c r="D223" s="54"/>
      <c r="E223" s="54"/>
      <c r="F223" s="52"/>
      <c r="G223" s="52"/>
    </row>
    <row r="224" spans="2:7" ht="30" x14ac:dyDescent="0.25">
      <c r="B224" s="53"/>
      <c r="C224" s="12" t="s">
        <v>154</v>
      </c>
      <c r="D224" s="54">
        <v>2200</v>
      </c>
      <c r="E224" s="54">
        <v>2100</v>
      </c>
      <c r="F224" s="51">
        <v>2000</v>
      </c>
      <c r="G224" s="51">
        <v>1950</v>
      </c>
    </row>
    <row r="225" spans="2:7" x14ac:dyDescent="0.25">
      <c r="B225" s="53"/>
      <c r="C225" s="12" t="s">
        <v>150</v>
      </c>
      <c r="D225" s="54"/>
      <c r="E225" s="54"/>
      <c r="F225" s="52"/>
      <c r="G225" s="52"/>
    </row>
    <row r="226" spans="2:7" ht="30" x14ac:dyDescent="0.25">
      <c r="B226" s="53"/>
      <c r="C226" s="12" t="s">
        <v>155</v>
      </c>
      <c r="D226" s="54">
        <v>1400</v>
      </c>
      <c r="E226" s="54">
        <v>1300</v>
      </c>
      <c r="F226" s="39">
        <v>1250</v>
      </c>
      <c r="G226" s="39">
        <v>1200</v>
      </c>
    </row>
    <row r="227" spans="2:7" x14ac:dyDescent="0.25">
      <c r="B227" s="53"/>
      <c r="C227" s="12" t="s">
        <v>156</v>
      </c>
      <c r="D227" s="54"/>
      <c r="E227" s="54"/>
      <c r="F227" s="39"/>
      <c r="G227" s="39"/>
    </row>
    <row r="228" spans="2:7" ht="30" x14ac:dyDescent="0.25">
      <c r="B228" s="53"/>
      <c r="C228" s="12" t="s">
        <v>157</v>
      </c>
      <c r="D228" s="54">
        <v>1700</v>
      </c>
      <c r="E228" s="54">
        <v>1600</v>
      </c>
      <c r="F228" s="39">
        <v>1550</v>
      </c>
      <c r="G228" s="39">
        <v>1500</v>
      </c>
    </row>
    <row r="229" spans="2:7" x14ac:dyDescent="0.25">
      <c r="B229" s="53"/>
      <c r="C229" s="12" t="s">
        <v>158</v>
      </c>
      <c r="D229" s="54"/>
      <c r="E229" s="54"/>
      <c r="F229" s="39"/>
      <c r="G229" s="39"/>
    </row>
    <row r="230" spans="2:7" ht="30" x14ac:dyDescent="0.25">
      <c r="B230" s="53"/>
      <c r="C230" s="12" t="s">
        <v>159</v>
      </c>
      <c r="D230" s="54">
        <v>2100</v>
      </c>
      <c r="E230" s="54">
        <v>2000</v>
      </c>
      <c r="F230" s="39">
        <v>1900</v>
      </c>
      <c r="G230" s="39">
        <v>1800</v>
      </c>
    </row>
    <row r="231" spans="2:7" x14ac:dyDescent="0.25">
      <c r="B231" s="53"/>
      <c r="C231" s="12" t="s">
        <v>160</v>
      </c>
      <c r="D231" s="54"/>
      <c r="E231" s="54"/>
      <c r="F231" s="39"/>
      <c r="G231" s="39"/>
    </row>
    <row r="232" spans="2:7" ht="30" x14ac:dyDescent="0.25">
      <c r="B232" s="53"/>
      <c r="C232" s="12" t="s">
        <v>161</v>
      </c>
      <c r="D232" s="54">
        <v>2500</v>
      </c>
      <c r="E232" s="54">
        <v>2400</v>
      </c>
      <c r="F232" s="39">
        <v>2300</v>
      </c>
      <c r="G232" s="39">
        <v>2200</v>
      </c>
    </row>
    <row r="233" spans="2:7" ht="15.75" thickBot="1" x14ac:dyDescent="0.3">
      <c r="B233" s="56"/>
      <c r="C233" s="14" t="s">
        <v>162</v>
      </c>
      <c r="D233" s="55"/>
      <c r="E233" s="55"/>
      <c r="F233" s="40"/>
      <c r="G233" s="40"/>
    </row>
  </sheetData>
  <mergeCells count="54">
    <mergeCell ref="A6:G6"/>
    <mergeCell ref="A7:G7"/>
    <mergeCell ref="G214:G215"/>
    <mergeCell ref="F214:F215"/>
    <mergeCell ref="G212:G213"/>
    <mergeCell ref="F212:F213"/>
    <mergeCell ref="B20:E20"/>
    <mergeCell ref="D212:D213"/>
    <mergeCell ref="D214:D215"/>
    <mergeCell ref="B212:B213"/>
    <mergeCell ref="B214:B215"/>
    <mergeCell ref="E212:E213"/>
    <mergeCell ref="D80:E80"/>
    <mergeCell ref="D81:E81"/>
    <mergeCell ref="F80:G80"/>
    <mergeCell ref="F81:G81"/>
    <mergeCell ref="B226:B227"/>
    <mergeCell ref="B228:B229"/>
    <mergeCell ref="B230:B231"/>
    <mergeCell ref="E232:E233"/>
    <mergeCell ref="E230:E231"/>
    <mergeCell ref="E228:E229"/>
    <mergeCell ref="E226:E227"/>
    <mergeCell ref="B232:B233"/>
    <mergeCell ref="D226:D227"/>
    <mergeCell ref="D228:D229"/>
    <mergeCell ref="D230:D231"/>
    <mergeCell ref="D232:D233"/>
    <mergeCell ref="B216:B217"/>
    <mergeCell ref="B218:B219"/>
    <mergeCell ref="E218:E219"/>
    <mergeCell ref="E216:E217"/>
    <mergeCell ref="E214:E215"/>
    <mergeCell ref="D216:D217"/>
    <mergeCell ref="D218:D219"/>
    <mergeCell ref="B224:B225"/>
    <mergeCell ref="E224:E225"/>
    <mergeCell ref="E220:E221"/>
    <mergeCell ref="B220:B221"/>
    <mergeCell ref="B222:B223"/>
    <mergeCell ref="D220:D221"/>
    <mergeCell ref="D222:D223"/>
    <mergeCell ref="D224:D225"/>
    <mergeCell ref="E222:E223"/>
    <mergeCell ref="G224:G225"/>
    <mergeCell ref="F224:F225"/>
    <mergeCell ref="G222:G223"/>
    <mergeCell ref="F222:F223"/>
    <mergeCell ref="G216:G217"/>
    <mergeCell ref="F218:F219"/>
    <mergeCell ref="F216:F217"/>
    <mergeCell ref="G220:G221"/>
    <mergeCell ref="F220:F221"/>
    <mergeCell ref="G218:G219"/>
  </mergeCells>
  <pageMargins left="0.7" right="0.7" top="0.5" bottom="0.41" header="0.3" footer="0.3"/>
  <pageSetup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KaiXi</dc:creator>
  <cp:lastModifiedBy>PC 2</cp:lastModifiedBy>
  <cp:lastPrinted>2026-07-08T08:22:25Z</cp:lastPrinted>
  <dcterms:created xsi:type="dcterms:W3CDTF">2026-04-24T13:22:39Z</dcterms:created>
  <dcterms:modified xsi:type="dcterms:W3CDTF">2026-07-14T00:41:47Z</dcterms:modified>
</cp:coreProperties>
</file>